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y pc\Desktop\MKTPR\KADIEN\"/>
    </mc:Choice>
  </mc:AlternateContent>
  <xr:revisionPtr revIDLastSave="0" documentId="13_ncr:1_{2F489EC0-6740-4343-A7D2-4B0CD4F72C59}" xr6:coauthVersionLast="47" xr6:coauthVersionMax="47" xr10:uidLastSave="{00000000-0000-0000-0000-000000000000}"/>
  <bookViews>
    <workbookView xWindow="-108" yWindow="-108" windowWidth="23256" windowHeight="12456" activeTab="2" xr2:uid="{00000000-000D-0000-FFFF-FFFF00000000}"/>
  </bookViews>
  <sheets>
    <sheet name="1" sheetId="1" r:id="rId1"/>
    <sheet name="2" sheetId="2" r:id="rId2"/>
    <sheet name="3" sheetId="3" r:id="rId3"/>
    <sheet name="4" sheetId="4" r:id="rId4"/>
    <sheet name="pre-4" sheetId="5" r:id="rId5"/>
    <sheet name="5" sheetId="11" r:id="rId6"/>
    <sheet name="10" sheetId="6" r:id="rId7"/>
    <sheet name="11" sheetId="7" r:id="rId8"/>
    <sheet name="12" sheetId="12" r:id="rId9"/>
    <sheet name="DRA" sheetId="9" r:id="rId10"/>
    <sheet name="Todo" sheetId="10" r:id="rId11"/>
    <sheet name="Sheet1" sheetId="13" r:id="rId12"/>
    <sheet name="Sheet2" sheetId="14" r:id="rId13"/>
    <sheet name="21" sheetId="16" r:id="rId14"/>
    <sheet name="22" sheetId="15" r:id="rId15"/>
    <sheet name="23" sheetId="17" r:id="rId16"/>
    <sheet name="24" sheetId="18" r:id="rId17"/>
    <sheet name="Sheet6" sheetId="19" r:id="rId1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7" i="3" l="1"/>
  <c r="F16" i="3"/>
  <c r="H6" i="2"/>
  <c r="H7" i="2"/>
  <c r="H8" i="2"/>
  <c r="H9" i="2"/>
  <c r="H10" i="2"/>
  <c r="H5" i="2"/>
  <c r="G3" i="11"/>
  <c r="G4" i="11"/>
  <c r="G5" i="11"/>
  <c r="G6" i="11"/>
  <c r="G7" i="11"/>
  <c r="G2" i="11"/>
  <c r="E3" i="11"/>
  <c r="E4" i="11"/>
  <c r="E5" i="11"/>
  <c r="E6" i="11"/>
  <c r="E7" i="11"/>
  <c r="E2" i="11"/>
  <c r="F11" i="3"/>
</calcChain>
</file>

<file path=xl/sharedStrings.xml><?xml version="1.0" encoding="utf-8"?>
<sst xmlns="http://schemas.openxmlformats.org/spreadsheetml/2006/main" count="1170" uniqueCount="604">
  <si>
    <t>mode</t>
  </si>
  <si>
    <t>code</t>
  </si>
  <si>
    <t>Tạo một ảnh</t>
  </si>
  <si>
    <t>Kích thước:</t>
  </si>
  <si>
    <t>180x320</t>
  </si>
  <si>
    <t>Chủ đề:</t>
  </si>
  <si>
    <t>Phong cách: tả thực</t>
  </si>
  <si>
    <t>Màu sắc:</t>
  </si>
  <si>
    <t>Mục đích:</t>
  </si>
  <si>
    <t>obj</t>
  </si>
  <si>
    <t>ADD_mode001</t>
  </si>
  <si>
    <t>ADD_mode002</t>
  </si>
  <si>
    <t>ADD_mode003</t>
  </si>
  <si>
    <t>ADD_mode004</t>
  </si>
  <si>
    <t>ADD_mode005</t>
  </si>
  <si>
    <t>ADD_mode006</t>
  </si>
  <si>
    <t>ADD_mode007</t>
  </si>
  <si>
    <t>ADD_MODEOBJ001</t>
  </si>
  <si>
    <t>ADD_MODEOBJ002</t>
  </si>
  <si>
    <t>ADD_MODEOBJ003</t>
  </si>
  <si>
    <t>ADD_MODEOBJ004</t>
  </si>
  <si>
    <t>ADD_MODEOBJ005</t>
  </si>
  <si>
    <t>ADD_MODEOBJ006</t>
  </si>
  <si>
    <t>ADD_MODEOBJ007</t>
  </si>
  <si>
    <t>subMode</t>
  </si>
  <si>
    <t>modeOBJ</t>
  </si>
  <si>
    <t>NameRender</t>
  </si>
  <si>
    <t>content-01</t>
  </si>
  <si>
    <t>content-02</t>
  </si>
  <si>
    <t>content-03</t>
  </si>
  <si>
    <t>content-04</t>
  </si>
  <si>
    <t>content-05</t>
  </si>
  <si>
    <t>content-06</t>
  </si>
  <si>
    <t>INMODE</t>
  </si>
  <si>
    <t>Hoàn thành bảng sau theo Mô tả; mỗi css- chưa một thành tố css dạng {"padding":"25px"}</t>
  </si>
  <si>
    <t>styleCssName</t>
  </si>
  <si>
    <t>css-001</t>
  </si>
  <si>
    <t>css-002</t>
  </si>
  <si>
    <t>css-003</t>
  </si>
  <si>
    <t>css-004</t>
  </si>
  <si>
    <t>css-005</t>
  </si>
  <si>
    <t>css-006</t>
  </si>
  <si>
    <t>css-007</t>
  </si>
  <si>
    <t>css-008</t>
  </si>
  <si>
    <t>css-009</t>
  </si>
  <si>
    <t>css-010</t>
  </si>
  <si>
    <t>css-011</t>
  </si>
  <si>
    <t>css-012</t>
  </si>
  <si>
    <t>css-013</t>
  </si>
  <si>
    <t>css-014</t>
  </si>
  <si>
    <t>css-015</t>
  </si>
  <si>
    <t>css-016</t>
  </si>
  <si>
    <t>css-017</t>
  </si>
  <si>
    <t>css-018</t>
  </si>
  <si>
    <t>DIVA001-css</t>
  </si>
  <si>
    <t>{position: "absolute"}</t>
  </si>
  <si>
    <t>{height: 1920}</t>
  </si>
  <si>
    <t>DIVA002-css</t>
  </si>
  <si>
    <t>DIVA003-css</t>
  </si>
  <si>
    <t>{  WebkitTextStroke: "1px black",
  textShadow: "1px 1px 3px rgba(0,0,0,0.7)"}</t>
  </si>
  <si>
    <t>{whiteSpace: "pre-line"}</t>
  </si>
  <si>
    <t>DIVA004-css</t>
  </si>
  <si>
    <t>DIVA005-css</t>
  </si>
  <si>
    <t>sttMode</t>
  </si>
  <si>
    <t>modeGroup</t>
  </si>
  <si>
    <t>contentName</t>
  </si>
  <si>
    <t>key-01</t>
  </si>
  <si>
    <t>key-02</t>
  </si>
  <si>
    <t>key-03</t>
  </si>
  <si>
    <t>key-04</t>
  </si>
  <si>
    <t>DIVA001</t>
  </si>
  <si>
    <t>cmd</t>
  </si>
  <si>
    <t>ADD_...</t>
  </si>
  <si>
    <t>Sheet 1</t>
  </si>
  <si>
    <t>key-05</t>
  </si>
  <si>
    <t>DIVA006-css</t>
  </si>
  <si>
    <t>DIVA007-css</t>
  </si>
  <si>
    <t>DIVA008-css</t>
  </si>
  <si>
    <t>DIVA009-css</t>
  </si>
  <si>
    <t>DIVA010-css</t>
  </si>
  <si>
    <t>ADD_mode008</t>
  </si>
  <si>
    <t>ADD_MODEOBJ008</t>
  </si>
  <si>
    <t>{
  fontSize: 100,
  fontWeight: 900,
  color: "yellow",
 lineHeight: 1.1,fontStyle: "italic"
}</t>
  </si>
  <si>
    <t>{position: "absolute", top: 0, left:0, right:0 , bottom:0}</t>
  </si>
  <si>
    <t>{ paddingTop: "200"}</t>
  </si>
  <si>
    <t>{ paddingTop: "400"}</t>
  </si>
  <si>
    <t>{ paddingTop: "1000"}</t>
  </si>
  <si>
    <t>{ paddingTop: "1200"}</t>
  </si>
  <si>
    <t>{ paddingTop: "450"}</t>
  </si>
  <si>
    <t>{
  fontSize: 150,
  fontWeight: 900,
  color: "yellow",
 lineHeight: 1.1,fontStyle: "italic"
}</t>
  </si>
  <si>
    <t>DIVA0textsubtitle-css</t>
  </si>
  <si>
    <t>DIVB-logo-div-css</t>
  </si>
  <si>
    <t>DIVB-logo-img-css</t>
  </si>
  <si>
    <t>{borderRadius: "50%"}</t>
  </si>
  <si>
    <t>{textAlign: "center"}</t>
  </si>
  <si>
    <t>{position: "absolute", top: "20%", left:0, right:0, bottom:0}</t>
  </si>
  <si>
    <t>DIV-numder-css</t>
  </si>
  <si>
    <t>{position: "absolute", top: "20px", left:20px}</t>
  </si>
  <si>
    <t>{
  fontSize: 90,
  fontWeight: 900,
  color: "yellow",
 lineHeight: 1.1,fontStyle: "italic"
}</t>
  </si>
  <si>
    <t>{
  fontSize: 70,
  fontWeight: 900,
  color: "yellow",
 lineHeight: 1.1,fontStyle: "italic"
}</t>
  </si>
  <si>
    <t>{
  fontSize: 80,
  fontWeight: 900,
  color: "yellow",
 lineHeight: 1.1,fontStyle: "italic"
}</t>
  </si>
  <si>
    <t>{
  fontSize: 110,
  fontWeight: 900,
  color: "yellow",
 lineHeight: 1.1,fontStyle: "italic"
}</t>
  </si>
  <si>
    <t>{
  fontSize: 120,
  fontWeight: 900,
  color: "yellow",
 lineHeight: 1.1,fontStyle: "italic"
}</t>
  </si>
  <si>
    <t>{  WebkitTextStroke: "3px black",
  textShadow: "1px 1px 3px rgba(0,0,0,0.7)"}</t>
  </si>
  <si>
    <t>{ paddingTop: "300"}</t>
  </si>
  <si>
    <t>{ paddingTop: "650"}</t>
  </si>
  <si>
    <t>{ paddingTop: "900"}</t>
  </si>
  <si>
    <t>{borderRadius: "10%"}</t>
  </si>
  <si>
    <t>{
  fontSize: 60,
  color: "blue",
 lineHeight: 1.1,fontStyle: "italic"
}</t>
  </si>
  <si>
    <t>mode000</t>
  </si>
  <si>
    <t>ADD_mode000</t>
  </si>
  <si>
    <t>ADD_MODEOBJ000</t>
  </si>
  <si>
    <t>div-hook-top-css</t>
  </si>
  <si>
    <t>div-hook-main-css</t>
  </si>
  <si>
    <t>div-hook-sub-css</t>
  </si>
  <si>
    <t>{
  fontSize: 140,
  color: "yellow", fontWeight: 900,
 lineHeight: 1.1,fontStyle: "italic"
}</t>
  </si>
  <si>
    <t>{
  fontSize: 80,
  color: "yellow", fontWeight: 700,
 lineHeight: 1.1,fontStyle: "italic"
}</t>
  </si>
  <si>
    <t>{
  fontSize: 60,
  color: "yellow", fontWeight: 800,
 lineHeight: 1.1,fontStyle: "italic"
}</t>
  </si>
  <si>
    <t>{ backgroundColor: "white"}</t>
  </si>
  <si>
    <t>key-06</t>
  </si>
  <si>
    <t>{ paddingTop: "</t>
  </si>
  <si>
    <t>"}</t>
  </si>
  <si>
    <t>key-07</t>
  </si>
  <si>
    <t>content-07</t>
  </si>
  <si>
    <t>key-08</t>
  </si>
  <si>
    <t>content-08</t>
  </si>
  <si>
    <t>Làm hình nền cho chữ "vàng viền đen"</t>
  </si>
  <si>
    <t>Stt</t>
  </si>
  <si>
    <t>Hoàn thành bảng sau với các từ tiếng anh</t>
  </si>
  <si>
    <t>my</t>
  </si>
  <si>
    <t>find</t>
  </si>
  <si>
    <t>noise</t>
  </si>
  <si>
    <t>face</t>
  </si>
  <si>
    <t>nguyên âm ai /aɪ/</t>
  </si>
  <si>
    <t>nguyên âm oi /ɔɪ/</t>
  </si>
  <si>
    <t>nguyên âm ei /eɪ/</t>
  </si>
  <si>
    <t>nguyên âm ơu /əʊ/</t>
  </si>
  <si>
    <t>au /aʊ/</t>
  </si>
  <si>
    <t>e-ơ /eə/</t>
  </si>
  <si>
    <t>u-ơ /ʊə/</t>
  </si>
  <si>
    <t>home</t>
  </si>
  <si>
    <t>house</t>
  </si>
  <si>
    <t>hair</t>
  </si>
  <si>
    <t>tour</t>
  </si>
  <si>
    <t>boy</t>
  </si>
  <si>
    <t>name</t>
  </si>
  <si>
    <t>go</t>
  </si>
  <si>
    <t>town</t>
  </si>
  <si>
    <t>chair</t>
  </si>
  <si>
    <t>poor</t>
  </si>
  <si>
    <t>bike</t>
  </si>
  <si>
    <t>toy</t>
  </si>
  <si>
    <t>cake</t>
  </si>
  <si>
    <t>road</t>
  </si>
  <si>
    <t>now</t>
  </si>
  <si>
    <t>bear</t>
  </si>
  <si>
    <t>sure</t>
  </si>
  <si>
    <t>like</t>
  </si>
  <si>
    <t>coin</t>
  </si>
  <si>
    <t>game</t>
  </si>
  <si>
    <t>nose</t>
  </si>
  <si>
    <t>brown</t>
  </si>
  <si>
    <t>pear</t>
  </si>
  <si>
    <t>cure</t>
  </si>
  <si>
    <t>time</t>
  </si>
  <si>
    <t>point</t>
  </si>
  <si>
    <t>rain</t>
  </si>
  <si>
    <t>boat</t>
  </si>
  <si>
    <t>flower</t>
  </si>
  <si>
    <t>care</t>
  </si>
  <si>
    <t>tourist</t>
  </si>
  <si>
    <t>night</t>
  </si>
  <si>
    <t>voice</t>
  </si>
  <si>
    <t>day</t>
  </si>
  <si>
    <t>open</t>
  </si>
  <si>
    <t>loud</t>
  </si>
  <si>
    <t>where</t>
  </si>
  <si>
    <t>moor</t>
  </si>
  <si>
    <t>smile</t>
  </si>
  <si>
    <t>join</t>
  </si>
  <si>
    <t>play</t>
  </si>
  <si>
    <t>phone</t>
  </si>
  <si>
    <t>mouse</t>
  </si>
  <si>
    <t>square</t>
  </si>
  <si>
    <t>pure</t>
  </si>
  <si>
    <t>white</t>
  </si>
  <si>
    <t>enjoy</t>
  </si>
  <si>
    <t>train</t>
  </si>
  <si>
    <t>coat</t>
  </si>
  <si>
    <t>cloud</t>
  </si>
  <si>
    <t>wear</t>
  </si>
  <si>
    <t>during</t>
  </si>
  <si>
    <t>right</t>
  </si>
  <si>
    <t>choice</t>
  </si>
  <si>
    <t>eight</t>
  </si>
  <si>
    <t>window</t>
  </si>
  <si>
    <t>shout</t>
  </si>
  <si>
    <t>fair</t>
  </si>
  <si>
    <t>rural</t>
  </si>
  <si>
    <t>child</t>
  </si>
  <si>
    <t>oil</t>
  </si>
  <si>
    <t>wait</t>
  </si>
  <si>
    <t>snow</t>
  </si>
  <si>
    <t>cow</t>
  </si>
  <si>
    <t>parent</t>
  </si>
  <si>
    <t>jury</t>
  </si>
  <si>
    <t>{textAlign: "left"}</t>
  </si>
  <si>
    <t>{marginTop:30,
  fontSize: 45,
  color: "black",fontWeight: 300,
 lineHeight: 1.3,fontStyle: "italic"
}</t>
  </si>
  <si>
    <t>key-09</t>
  </si>
  <si>
    <t>content-09</t>
  </si>
  <si>
    <t>key-10</t>
  </si>
  <si>
    <t>content-10</t>
  </si>
  <si>
    <t>{ paddingLeft: "80"}</t>
  </si>
  <si>
    <t>div-hook-sub-number-css</t>
  </si>
  <si>
    <t>{ backgroundColor: "rgba(128, 128, 128, 0.7)",
padding: "7%"}</t>
  </si>
  <si>
    <t>{position: "absolute", top: "27%", left:50, right:50}</t>
  </si>
  <si>
    <t>{borderRadius: "30px"}</t>
  </si>
  <si>
    <t>{position: "absolute", top: "53%", left:0, right:0, bottom:0}</t>
  </si>
  <si>
    <t>{position: "absolute", top: "63%", left:0, right:0, bottom:0}</t>
  </si>
  <si>
    <t>Tươi sáng, chủ đạo màu xanh lá, xanh dương</t>
  </si>
  <si>
    <t>Viết một cụm từ cách điệu giữa ảnh, giống như mây:</t>
  </si>
  <si>
    <t>"Âu yếm"</t>
  </si>
  <si>
    <t>bà âu yếm cháu nơi đồng quê</t>
  </si>
  <si>
    <t>,</t>
  </si>
  <si>
    <t>{ paddingRight: "80"}</t>
  </si>
  <si>
    <t>videoView</t>
  </si>
  <si>
    <t>video</t>
  </si>
  <si>
    <t>videoStartFrom</t>
  </si>
  <si>
    <t>kd_tranganninhbinh.mp4</t>
  </si>
  <si>
    <t>objectFit</t>
  </si>
  <si>
    <t>volume</t>
  </si>
  <si>
    <t>timeFixed</t>
  </si>
  <si>
    <t>NULLA</t>
  </si>
  <si>
    <t>videoSource</t>
  </si>
  <si>
    <t>Start</t>
  </si>
  <si>
    <t>MODEOBJ.videoSource</t>
  </si>
  <si>
    <t>MODEOBJ.timeFixed</t>
  </si>
  <si>
    <t>StartNUMBER</t>
  </si>
  <si>
    <t>videoDuration</t>
  </si>
  <si>
    <t>ChangeEndFrame</t>
  </si>
  <si>
    <t>MODEOBJ.timeFixed + 1</t>
  </si>
  <si>
    <t>imgSource</t>
  </si>
  <si>
    <t>modeimg</t>
  </si>
  <si>
    <t>kd_avatar.png</t>
  </si>
  <si>
    <t>divAction</t>
  </si>
  <si>
    <t>id</t>
  </si>
  <si>
    <t>h_full</t>
  </si>
  <si>
    <t>DIVA002</t>
  </si>
  <si>
    <t>imageViewActionToID</t>
  </si>
  <si>
    <t>toID</t>
  </si>
  <si>
    <t>img</t>
  </si>
  <si>
    <t>MODEOBJ.imgSource</t>
  </si>
  <si>
    <t>MODEOBJ.volume</t>
  </si>
  <si>
    <t>transition</t>
  </si>
  <si>
    <t>kenBurns</t>
  </si>
  <si>
    <t>transitionFrame</t>
  </si>
  <si>
    <t>transitionLoop</t>
  </si>
  <si>
    <t>text</t>
  </si>
  <si>
    <t>text02</t>
  </si>
  <si>
    <t>textFull</t>
  </si>
  <si>
    <t>modeND</t>
  </si>
  <si>
    <t>MODEOBJ.textFull</t>
  </si>
  <si>
    <t>DIVND</t>
  </si>
  <si>
    <t>ToEndFrame</t>
  </si>
  <si>
    <t>DIVND-css</t>
  </si>
  <si>
    <t>{borderRadius: "15px"}</t>
  </si>
  <si>
    <t>DIVtext02</t>
  </si>
  <si>
    <t>DIVtext02-css</t>
  </si>
  <si>
    <t>{ backgroundColor: "white",
padding: "2%"}</t>
  </si>
  <si>
    <t>ĐỂ CÓ KỸ NĂNG
Tập trung "Rèn luyện" quan trọng hơn tập trung "học tập" 
 . . .</t>
  </si>
  <si>
    <t>IMG_9024.MOV</t>
  </si>
  <si>
    <t>INDEXFolder</t>
  </si>
  <si>
    <t>MKTEN</t>
  </si>
  <si>
    <t>INDEXName</t>
  </si>
  <si>
    <t>folderName</t>
  </si>
  <si>
    <t>VideoName</t>
  </si>
  <si>
    <t>MKTEN_video</t>
  </si>
  <si>
    <t>{"mode":"modeND","StartNUMBER":null,"videoSource":null,"volume":null,"imgSource":null,"timeFixed":0.1,"textFull":"ĐỂ CÓ KỸ NĂNG\nTập trung \"Rèn luyện\" quan trọng hơn tập trung \"học tập\" \n\n . . .  ꜜꜜꜜcaption","text02":null,"INDEXFolder":"MKTEN","INDEXName":"MKTName"}</t>
  </si>
  <si>
    <t>{"mode":"mode000","StartNUMBER":0,"videoSource":"IMG_9024.MOV","volume":0,"imgSource":null,"timeFixed":5,"textFull":null,"text02":"Buổi sáng Rèn luyện Nghe Nói Tiếng Anh / WebApp PVD","INDEXFolder":null,"INDEXName":null}</t>
  </si>
  <si>
    <t>{"mode":"mode000","StartNUMBER":5,"videoSource":"IMG_9024.MOV","volume":0,"imgSource":null,"timeFixed":5,"textFull":null,"text02":"Buổi sáng Rèn luyện Nghe Nói Tiếng Anh / WebApp PVD","INDEXFolder":null,"INDEXName":null}</t>
  </si>
  <si>
    <t>{"mode":"NULLA","StartNUMBER":null,"videoSource":null,"volume":null,"imgSource":null,"timeFixed":null,"textFull":null,"text02":null,"INDEXFolder":null,"INDEXName":null}</t>
  </si>
  <si>
    <t>longvideoBG_100lifehack.mp4</t>
  </si>
  <si>
    <t>Sheet\ADD</t>
  </si>
  <si>
    <t>cover</t>
  </si>
  <si>
    <t>{width: 1080}</t>
  </si>
  <si>
    <t>Nếu "Phát âm" là cốt lõi của giao tiếp tiếng anh thì "Ghép âm" là cách dễ dàng, bình dân, logic để biết "phát âm".</t>
  </si>
  <si>
    <t>{position: "absolute", top: "85%", left:50, right:50, bottom:50,zIndex:100, padding:"10px"}</t>
  </si>
  <si>
    <t>{
  fontSize: 50,
  color: "black", fontWeight: 500,
 lineHeight: 1.1,fontStyle: "italic"
}</t>
  </si>
  <si>
    <t>Ká Điện - "Hướng dẫn ghép âm &amp; Rèn nghe nói tiếng anh online"</t>
  </si>
  <si>
    <t>DIVB-logo-div</t>
  </si>
  <si>
    <t>DIVB-logo-img</t>
  </si>
  <si>
    <t>logoID</t>
  </si>
  <si>
    <t>logo_brand-pvd.png</t>
  </si>
  <si>
    <t>{zIndex: "9999"}</t>
  </si>
  <si>
    <t>{position: "absolute", top: "90%", left:800, right:0, bottom:0}</t>
  </si>
  <si>
    <t>{width: "150px"}</t>
  </si>
  <si>
    <t>{border:"10px solid blue"}</t>
  </si>
  <si>
    <t>soundPlayerAction</t>
  </si>
  <si>
    <t>soundSource</t>
  </si>
  <si>
    <t>divSound</t>
  </si>
  <si>
    <t>nhacnen_vuituoi</t>
  </si>
  <si>
    <t>AudioStartFrom</t>
  </si>
  <si>
    <t>DIVTOP-BLACK</t>
  </si>
  <si>
    <t xml:space="preserve">  </t>
  </si>
  <si>
    <t>DIVTOP-BLACK-css</t>
  </si>
  <si>
    <t>{position: "absolute", top: 0, left:-100, right:0, height:"380", zIndex:60, backgroundColor:"black"}</t>
  </si>
  <si>
    <t>Thông điệp</t>
  </si>
  <si>
    <t>“Phát âm” là cốt lõi của giao tiếp tiếng Anh. “Ghép âm” là cách dễ dàng, logic để biết “phát âm”.</t>
  </si>
  <si>
    <t>“Ghép âm” là việc ghép các âm thanh thành tiếng. Học “ghép âm” là học logic căn bản của nghe và nói.</t>
  </si>
  <si>
    <t>Tiếng Anh không phải là những từ đứng riêng lẻ. Khi giao tiếp, các âm được ghép, nối và biến đổi thành dòng âm thanh liên tục.</t>
  </si>
  <si>
    <t>“Ghép âm” giúp nhìn tiếng Anh từ góc độ âm thanh, thay vì chỉ nhìn vào mặt chữ.</t>
  </si>
  <si>
    <t>Biết từ chưa có nghĩa là biết nói. Biết cách ghép âm mới giúp biến từ đã học thành âm thanh có thể sử dụng.</t>
  </si>
  <si>
    <t>Học phát âm không nhất thiết phải bắt đầu bằng những quy tắc khó. Có thể bắt đầu từ những âm thanh quen thuộc và cách chúng ghép lại.</t>
  </si>
  <si>
    <t>“Ghép âm” lấy cái quen thuộc làm cầu nối để người Việt từng bước làm quen với những âm thanh khác biệt của tiếng Anh.</t>
  </si>
  <si>
    <t>Khi hiểu được logic của âm thanh, việc nghe tiếng Anh không còn là cố đoán từng từ, mà là nhận ra cách các âm đang kết nối với nhau.</t>
  </si>
  <si>
    <t>Nghe tốt không chỉ nhờ vốn từ. Nghe tốt còn là khả năng nhận diện âm thanh trong cách người bản xứ thực sự nói.</t>
  </si>
  <si>
    <t>Nói tiếng Anh không phải là đọc từng chữ. Nói là tạo ra một chuỗi âm thanh có nhịp điệu, trọng âm và sự liên kết.</t>
  </si>
  <si>
    <t>“Ghép âm” hướng người học từ âm → tiếng → từ → cụm từ → câu → giao tiếp.</t>
  </si>
  <si>
    <t>Học từng từ giúp biết tiếng Anh. Học cách ghép âm giúp sử dụng tiếng Anh.</t>
  </si>
  <si>
    <t>Khi tai nhận ra âm, miệng mới có cơ sở để tạo ra âm. Vì vậy, học nghe và học nói cần được kết nối với nhau.</t>
  </si>
  <si>
    <t>“Ghép âm” không nhằm biến tiếng Anh thành một môn học nhiều quy tắc, mà giúp người học nhìn thấy quy luật nằm trong âm thanh.</t>
  </si>
  <si>
    <t>Mục tiêu cuối cùng của phát âm không phải là nói thật “Tây”, mà là nói rõ, nghe được và giao tiếp hiệu quả.</t>
  </si>
  <si>
    <t>Từ một âm thanh quen thuộc, người học có thể từng bước mở rộng sang những âm thanh mới. Đây là cách xây cầu thay vì bắt đầu từ con số 0.</t>
  </si>
  <si>
    <t>Hiểu cách tiếng Anh được ghép âm giúp rút ngắn khoảng cách giữa “nhìn thấy một câu” và “nghe thấy một câu”.</t>
  </si>
  <si>
    <t>“Ghép âm” là phương pháp tiếp cận phát âm theo hướng trực quan, logic và thực hành: nghe → nhận diện → ghép → nói.</t>
  </si>
  <si>
    <t>“Ghép âm” — hiểu cách âm thanh kết nối để nghe dễ hơn, nói đúng hơn và giao tiếp tự nhiên hơn.</t>
  </si>
  <si>
    <t>Muốn nghe và nói tốt, trước hết phải hiểu cách âm được tạo ra và kết nối với nhau.</t>
  </si>
  <si>
    <t>“Phát âm” là cốt lõi của giao tiếp tiếng Anh. “Ghép âm” là cách dễ dàng, logic để hiểu “phát âm”.</t>
  </si>
  <si>
    <t>Tiếng Việt và tiếng Anh khác nhau trong phát âm, nhưng không hoàn toàn xa lạ. Giữa hai ngôn ngữ vẫn có những điểm tương đồng có thể tận dụng.</t>
  </si>
  <si>
    <t>Thay vì bắt đầu từ những điều xa lạ, “Ghép âm” bắt đầu từ những âm thanh người Việt đã quen thuộc.</t>
  </si>
  <si>
    <t>Cái quen thuộc là chiếc cầu nối để người Việt bước vào thế giới âm thanh của tiếng Anh.</t>
  </si>
  <si>
    <t>Từ cái giống nhau, từng bước làm quen với cái khác nhau — đó là cách “Ghép âm” tiếp cận phát âm tiếng Anh.</t>
  </si>
  <si>
    <t>Không né tránh sự khác biệt, cũng không làm mọi thứ trở nên quá phức tạp; “Ghép âm” giúp người học từng bước dung hòa những khác biệt trong phát âm.</t>
  </si>
  <si>
    <t>Một âm thanh có thể quen thuộc, một cách ghép âm có thể quen thuộc. Từ những điểm quen thuộc đó, người học có thể tiến xa hơn.</t>
  </si>
  <si>
    <t>Phát âm tiếng Anh trở nên dễ tiếp cận hơn khi người học có một điểm tựa quen thuộc để bắt đầu.</t>
  </si>
  <si>
    <t>“Ghép âm” không chỉ cho biết phải phát âm thế nào, mà hướng người học hiểu vì sao âm thanh lại được tạo ra như vậy.</t>
  </si>
  <si>
    <t>Khi hiểu được logic của âm thanh, người học không còn phải phụ thuộc hoàn toàn vào việc học thuộc lòng.</t>
  </si>
  <si>
    <t>Học phát âm không chỉ là bắt chước âm thanh; đó còn là quá trình nhận ra, hiểu và ghép các âm thanh với nhau.</t>
  </si>
  <si>
    <t>Từ âm quen thuộc đến âm mới, từ âm đơn đến cách ghép âm — người học từng bước xây dựng khả năng nghe và nói.</t>
  </si>
  <si>
    <t>“Ghép âm” biến những khác biệt trong phát âm thành những điểm có thể quan sát, so sánh và hiểu được.</t>
  </si>
  <si>
    <t>Khi có logic để hiểu, phát âm trở nên dễ ghi nhớ hơn; khi hiểu cách ghép, người học dễ vận dụng hơn.</t>
  </si>
  <si>
    <t>Mục tiêu không phải học thật nhiều quy tắc, mà là hiểu được những quy luật cần thiết để nghe và nói.</t>
  </si>
  <si>
    <t>“Ghép âm” tạo ra một cây cầu giữa cách phát âm quen thuộc của tiếng Việt và cách phát âm của tiếng Anh.</t>
  </si>
  <si>
    <t>Từ “biết một âm” đến “nghe ra một âm”, rồi “ghép được một câu” — đó là quá trình biến kiến thức thành khả năng sử dụng.</t>
  </si>
  <si>
    <t>Dễ tiếp cận hơn, bớt xa lạ hơn và có logic để hiểu, ghi nhớ, vận dụng — đó là giá trị cốt lõi của phương pháp “Ghép âm”.</t>
  </si>
  <si>
    <t>“Ghép âm” — bắt đầu từ cái quen thuộc, làm quen với cái khác biệt, hiểu logic của âm thanh để nghe và nói tiếng Anh dễ dàng hơn.</t>
  </si>
  <si>
    <r>
      <t>40% — Quan điểm cá nhân:</t>
    </r>
    <r>
      <rPr>
        <sz val="11"/>
        <color theme="1"/>
        <rFont val="Calibri"/>
        <family val="2"/>
        <scheme val="minor"/>
      </rPr>
      <t xml:space="preserve"> những câu rất ngắn, thể hiện cách bạn nhìn vấn đề.</t>
    </r>
  </si>
  <si>
    <r>
      <t>30% — Insight về tiếng Anh:</t>
    </r>
    <r>
      <rPr>
        <sz val="11"/>
        <color theme="1"/>
        <rFont val="Calibri"/>
        <family val="2"/>
        <scheme val="minor"/>
      </rPr>
      <t xml:space="preserve"> nghe, nói, phát âm, âm thanh, thói quen của người Việt.</t>
    </r>
  </si>
  <si>
    <r>
      <t>20% — Giải thích phương pháp:</t>
    </r>
    <r>
      <rPr>
        <sz val="11"/>
        <color theme="1"/>
        <rFont val="Calibri"/>
        <family val="2"/>
        <scheme val="minor"/>
      </rPr>
      <t xml:space="preserve"> từ từ đưa “Ghép âm” vào như một cách tiếp cận.</t>
    </r>
  </si>
  <si>
    <r>
      <t>10% — Thương hiệu/phương pháp:</t>
    </r>
    <r>
      <rPr>
        <sz val="11"/>
        <color theme="1"/>
        <rFont val="Calibri"/>
        <family val="2"/>
        <scheme val="minor"/>
      </rPr>
      <t xml:space="preserve"> nói trực tiếp “Ghép âm là gì”, giá trị gì, khác biệt gì.</t>
    </r>
  </si>
  <si>
    <t>Một post = một ý = một câu có thể nhớ.</t>
  </si>
  <si>
    <t>Dạng quote cá nhân, tôi sẽ ưu tiên 8–15 chữ, thậm chí 5–8 chữ nếu câu đủ mạnh.</t>
  </si>
  <si>
    <t>2 nội dung cơ bản chia sẻ:</t>
  </si>
  <si>
    <t>Chúng ta không thiếu nơi để "HỌC"
Chúng ta thực cần tìm "NƠI RÈN LUYỆN"</t>
  </si>
  <si>
    <t>Sức mạnh của thực hành
Ông bà ta thường nói: "Quen tay hay việc" hay "Trăm hay không bằng quen tay". Câu nói này nhấn mạnh rằng, dù lý thuyết có giỏi đến đâu, cũng không thể sánh bằng sự thành thạo nhờ thực hành liên tục.
Việc học nghe và nói tiếng Anh cũng không ngoại lệ. Dù học lý thuyết nhiều đến đâu, nếu không thực sự thực hành nghe và nói, kết quả đạt được sẽ khó lòng như mong đợi.
Với chúng tôi, con số 10.000 lượt luyện tập là một cột mốc quan trọng. Nó đánh dấu sự chuyển mình từ cảm giác tự ti, không thể giao tiếp tiếng Anh, sang sự tự tin, sẵn sàng trao đổi một cách tự nhiên bằng ngôn ngữ này.</t>
  </si>
  <si>
    <t>4 Bước Để Hình Thành Kỹ Năng Nghe Nói!
Đạt được 10.000 lượt nghe nói
Bước 1: Chia nhỏ kỹ năng
Tập trung vào kỹ năng cơ bản và cốt lõi nhất. Thay vì "học nghe nói", hãy tập trung vào "Ghép âm và tách âm".
Trong quá trình học tiếng Anh, nhiều người thường băn khoăn vì sao họ có thể hiểu từ vựng và ngữ pháp nhưng vẫn không thể nghe hiểu hay nói chuyện tự nhiên. Bí quyết nằm ở kỹ năng cơ bản nhất nhưng cũng quan trọng nhất: ghép âm và tách âm.
Bước 2: Học đủ để thực hành
Học nhanh các nguyên tắc và phương pháp nền tảng. Không dành quá nhiều thời gian cho lý thuyết, tập trung vào những gì cần thiết để bắt đầu thực hành ngay.
Bước 3: Loại bỏ các rào cản
Có hai loại rào cản chính cần vượt qua:
Rào cản khách quan: Không có môi trường luyện tập phù hợp hoặc môi trường hiện tại gặp nhiều vấn đề không thuận lợi.
Rào cản chủ quan: Thiếu tập trung, lười biếng, cảm giác chán nản, sợ hãi thất bại hoặc không thể kiên trì.
Hiểu được những thách thức này, chúng tôi đã phát triển và áp dụng các phương pháp hỗ trợ để giúp bạn dễ dàng vượt qua mọi rào cản.
Bước 4: Luyện tập lặp lại
Luyện tập hiệu quả theo chu trình:
Luyện tập → Ghi nhận phản hồi → Sửa chữa, tinh chỉnh → Luyện tập tiếp tục.
Lặp lại chu trình này một cách đều đặn và có định hướng cho đến khi đạt được mục tiêu 10.000 lượt thực hành. Đây chính là chìa khóa để xây dựng sự thành thạo và tự tin với kỹ năng bạn đang rèn luyện.</t>
  </si>
  <si>
    <t>Khóa thực hành "bình dân", "không năng khiếu".
"Bình dân"
Khóa học tập trung vào các nguyên tắc "đơn giản", "dễ sử dụng" và "bình dân" thay vì các yếu tố "hoa mỹ" hay "học thuật". Mục tiêu chính là giúp bạn thực hành nhiều và tiến bộ nhanh. Chúng tôi ưu tiên tính thực tế, giúp người học nắm bắt kỹ năng nghe nói hiệu quả mà không bị áp lực bởi sự phức tạp của ngôn ngữ học thuật.
"Không năng khiếu"
Phương pháp học tập trung vào các kỹ năng cơ bản nhất, đơn giản và có thể lặp đi lặp lại. Không yêu cầu "có khiếu học tiếng anh", chỉ cần bạn làm đúng và đủ, kết quả sẽ tự động đến.</t>
  </si>
  <si>
    <t>Bản chất của ngôn ngữ nghe nói và quá trình học hiệu quả
Ngôn ngữ nghe nói thực chất được hình thành từ một số "âm thanh cơ bản" được "ghép lại thành nhiều tổ hợp" theo các "nguyên tắc xác định". Mỗi tổ hợp âm thanh sau đó được "gán một ý nghĩa cụ thể", giúp chúng ta giao tiếp và truyền tải thông tin.
Khi nói: Là quá trình "ghép âm" để tạo thành từ, câu có nghĩa.
Khi nghe: Là quá trình "tách âm", phân tích các tổ hợp âm thanh, sau đó "so chiếu âm thanh với ý nghĩa" để hiểu được nội dung.
Ví dụ: Bạn có thể nghe và lặp lại "tít tít te te", nhưng nếu chưa "gán một ý nghĩa", bạn sẽ không hiểu. Tuy nhiên, nếu cụm âm đó được gán nghĩa là "có ở nhà không", bạn sẽ lập tức hiểu khi nghe và có thể sử dụng để trao đổi với người nào cũng hiểu nó.</t>
  </si>
  <si>
    <t>"Đủ đơn giản, bình dị cho Bình dân"
Chúng ta có thể ghi nhớ "UỂ OẢI Ơ" trong vòng vài giây và hiểu và sử dụng nó trong vòng 30 phút. Chỉ với chừng đó chúng ta có thể giải quyết 70-80% việc ghép và tách âm trong tiếng anh.
"Không mâu thuẫn với 44 âm IPA"
Sau khi thuần thục với UEOAI-Ơ bạn hoàn toàn có thể học tiếp để thuần thục "44 âm ipa", nhằm hoàn thiện khả năng phát âm của mình.</t>
  </si>
  <si>
    <t>Khi nào thì rành?
Khi Nào Được Tính Là Rành Ghép Âm – Phân Tách Âm?
NGHE – NÓI không còn tốn sức:
Giai đoạn đầu: Tập trung cao độ và mệt mỏi
Tốn sức khi mới tập ghép âm: Cơ miệng chưa quen với việc phát âm chính xác, bạn có thể cảm thấy mỏi hoặc căng cơ khi thực hiện các âm liên tục.
Giống như mới tập lái xe: Sự tập trung cao độ và thao tác chưa quen.
Tâm lý căng thẳng: Vì chưa thành thạo, bạn dễ lo lắng khi phát âm sai hoặc không tách được âm.
Giai đoạn sau: Rành ghép âm – phân tách âm
Kỹ năng tự động hóa: Việc ghép âm khi nói hoặc tách âm khi nghe trở thành phản xạ tự nhiên.
Không còn mỏi cơ hay căng thẳng: Cơ quan phát âm đã quen với việc tạo âm chuẩn.
Thư giãn và thoải mái hơn: Bạn có thể thực hiện các kỹ năng này ngay cả trong môi trường ồn ào.
Hiểu ngữ nghĩa tự nhiên: Sau khi phân tách âm, việc gán nghĩa cho cụm từ diễn ra tự động.</t>
  </si>
  <si>
    <t>Tiếng Việt và tiếng Anh có nhiều điểm khác biệt trong phát âm, nhưng giữa hai ngôn ngữ vẫn tồn tại những nét tương đồng có thể tận dụng. Phương pháp này bắt đầu từ việc tìm ra cái quen thuộc để làm cầu nối, rồi từng bước làm quen và dung hòa những điểm khác biệt. Nhờ đó, việc học phát âm tiếng Anh trở nên dễ tiếp cận hơn, bớt cảm giác xa lạ và đặc biệt là có logic để hiểu, ghi nhớ và vận dụng.</t>
  </si>
  <si>
    <t xml:space="preserve">Gợi ý một bảng gồm 100 notes/ qoutes; chia thành các cột stt | Loại nội dung | Thông điệp ngắn đề xuất </t>
  </si>
  <si>
    <t>Quan điểm cá nhân</t>
  </si>
  <si>
    <t>Chúng ta không thiếu nơi để học, chỉ thiếu nơi để rèn luyện.</t>
  </si>
  <si>
    <t>Học nhiều không bằng thực hành đủ.</t>
  </si>
  <si>
    <t>Biết cách làm chưa có nghĩa là làm được.</t>
  </si>
  <si>
    <t>Kỹ năng chỉ hình thành sau nhiều lần thực hành.</t>
  </si>
  <si>
    <t>Quen tay rồi, việc khó cũng thành quen.</t>
  </si>
  <si>
    <t>Lý thuyết mở đường, thực hành tạo năng lực.</t>
  </si>
  <si>
    <t>Không cần năng khiếu, cần làm đúng và đủ.</t>
  </si>
  <si>
    <t>Tiến bộ thường bắt đầu từ những việc rất đơn giản.</t>
  </si>
  <si>
    <t>Đừng học mãi một kỹ năng mà chưa từng luyện nó.</t>
  </si>
  <si>
    <t>Thành thạo không đến từ hiểu biết, mà từ lặp lại.</t>
  </si>
  <si>
    <t>Cái khó thường chỉ khó khi chúng ta chưa quen.</t>
  </si>
  <si>
    <t>Muốn giỏi một việc, hãy tạo cơ hội làm nó thật nhiều.</t>
  </si>
  <si>
    <t>Không phải ai cũng cần học giống nhau.</t>
  </si>
  <si>
    <t>Đơn giản không có nghĩa là đơn sơ.</t>
  </si>
  <si>
    <t>Điều tốt nhất đôi khi là điều dễ làm nhất.</t>
  </si>
  <si>
    <t>Học để biết khác hoàn toàn học để dùng.</t>
  </si>
  <si>
    <t>Một phương pháp tốt phải giúp người học bắt đầu được.</t>
  </si>
  <si>
    <t>Đừng biến việc học thành một cuộc thi trí nhớ.</t>
  </si>
  <si>
    <t>Càng thực tế, việc học càng có cơ hội đi xa.</t>
  </si>
  <si>
    <t>Tôi tin vào những thứ có thể luyện được.</t>
  </si>
  <si>
    <t>Tôi không tìm người có năng khiếu, tôi tìm người chịu luyện.</t>
  </si>
  <si>
    <t>Không cần giỏi ngay, chỉ cần tiếp tục làm đúng.</t>
  </si>
  <si>
    <t>Mọi kỹ năng đều cần thời gian để trở thành phản xạ.</t>
  </si>
  <si>
    <t>Rèn luyện biến điều từng khó thành điều bình thường.</t>
  </si>
  <si>
    <t>Nếu chưa làm được, có thể bạn chưa luyện đủ.</t>
  </si>
  <si>
    <t>Học đúng giúp bắt đầu. Luyện đủ giúp thành thạo.</t>
  </si>
  <si>
    <t>Tôi thích những phương pháp ít màu mè nhưng làm được việc.</t>
  </si>
  <si>
    <t>Một kỹ năng tốt phải tồn tại được ngoài lớp học.</t>
  </si>
  <si>
    <t>Mục tiêu của học tập cuối cùng vẫn là sử dụng.</t>
  </si>
  <si>
    <t>Đừng chỉ hỏi học gì, hãy hỏi luyện ở đâu.</t>
  </si>
  <si>
    <t>10.000 lần luyện tập tạo ra một con người khác.</t>
  </si>
  <si>
    <t>Thành thạo là khi cơ thể không còn phải suy nghĩ quá nhiều.</t>
  </si>
  <si>
    <t>Phản hồi tốt giúp mỗi lần luyện tập tốt hơn.</t>
  </si>
  <si>
    <t>Luyện tập không phải lặp lại máy móc.</t>
  </si>
  <si>
    <t>Luyện tập tốt là làm, nhận phản hồi rồi sửa.</t>
  </si>
  <si>
    <t>Muốn tự tin, hãy tạo thật nhiều lần được thử.</t>
  </si>
  <si>
    <t>Tự tin không phải điểm bắt đầu, mà là kết quả.</t>
  </si>
  <si>
    <t>Tôi tin rằng kỹ năng nghe nói có thể được rèn luyện.</t>
  </si>
  <si>
    <t>Không có năng khiếu vẫn có thể thành thạo.</t>
  </si>
  <si>
    <t>Điều quan trọng không phải học bao nhiêu, mà luyện bao nhiêu.</t>
  </si>
  <si>
    <t>Insight tiếng Anh</t>
  </si>
  <si>
    <t>Biết từ chưa chắc đã nghe ra từ.</t>
  </si>
  <si>
    <t>Biết từ chưa chắc đã biết nói.</t>
  </si>
  <si>
    <t>Nghe tốt là nhận ra âm thanh trong dòng nói.</t>
  </si>
  <si>
    <t>Tiếng Anh nói ra không giống tiếng Anh viết xuống.</t>
  </si>
  <si>
    <t>Nói tiếng Anh không phải đọc từng chữ.</t>
  </si>
  <si>
    <t>Khi nói, các âm thanh luôn kết nối với nhau.</t>
  </si>
  <si>
    <t>Tai nghe dòng âm thanh, không nghe từng chữ riêng lẻ.</t>
  </si>
  <si>
    <t>Mặt chữ cho ta thấy từ, âm thanh cho ta nghe ngôn ngữ.</t>
  </si>
  <si>
    <t>Nghe khó đôi khi không phải vì thiếu từ vựng.</t>
  </si>
  <si>
    <t>Có những từ bạn biết nhưng tai chưa nhận ra.</t>
  </si>
  <si>
    <t>Nghe là nhận diện âm thanh rồi gán nó với ý nghĩa.</t>
  </si>
  <si>
    <t>Nói là tạo ra một chuỗi âm thanh có nghĩa.</t>
  </si>
  <si>
    <t>Nghe và nói thực chất liên quan chặt chẽ với nhau.</t>
  </si>
  <si>
    <t>Tai chưa quen thì miệng cũng khó nói tự nhiên.</t>
  </si>
  <si>
    <t>Phát âm không chỉ nằm ở từng âm riêng lẻ.</t>
  </si>
  <si>
    <t>Câu nói thực tế luôn có sự nối âm và biến đổi.</t>
  </si>
  <si>
    <t>Người học thường nhìn thấy từ trước khi nghe thấy từ.</t>
  </si>
  <si>
    <t>Khoảng cách giữa đọc và nghe nằm ở âm thanh.</t>
  </si>
  <si>
    <t>Nghe được là một kỹ năng, không chỉ là biết từ.</t>
  </si>
  <si>
    <t>Nói rõ không đồng nghĩa với đọc từng chữ thật rõ.</t>
  </si>
  <si>
    <t>Ngôn ngữ nghe nói bắt đầu từ âm thanh.</t>
  </si>
  <si>
    <t>Âm thanh được ghép lại để tạo thành tiếng có nghĩa.</t>
  </si>
  <si>
    <t>Khi nghe, não phải nhận ra những tổ hợp âm thanh.</t>
  </si>
  <si>
    <t>Khi nói, miệng phải tạo ra những tổ hợp âm thanh.</t>
  </si>
  <si>
    <t>Biết nghĩa của từ không đảm bảo nhận ra âm của từ.</t>
  </si>
  <si>
    <t>Nghe tốt cần cả tai quen lẫn vốn từ.</t>
  </si>
  <si>
    <t>Phát âm tốt giúp rút ngắn khoảng cách giữa biết và dùng.</t>
  </si>
  <si>
    <t>Nghe nói tự nhiên cần quen với cách người thật nói.</t>
  </si>
  <si>
    <t>Tiếng Anh là một dòng âm thanh liên tục.</t>
  </si>
  <si>
    <t>Đừng chỉ học tiếng Anh bằng mắt.</t>
  </si>
  <si>
    <t>Phương pháp Ghép âm</t>
  </si>
  <si>
    <t>Ghép âm bắt đầu từ những điều người học đã quen thuộc.</t>
  </si>
  <si>
    <t>Cái quen thuộc là điểm tựa để học cái khác biệt.</t>
  </si>
  <si>
    <t>Từ cái giống nhau, từng bước làm quen với cái khác nhau.</t>
  </si>
  <si>
    <t>Ghép âm giúp nhìn tiếng Anh từ góc độ âm thanh.</t>
  </si>
  <si>
    <t>Học ghép âm là học cách âm thanh kết nối.</t>
  </si>
  <si>
    <t>Từ âm đến tiếng, từ tiếng đến từ.</t>
  </si>
  <si>
    <t>Từ âm → tiếng → từ → cụm từ → câu.</t>
  </si>
  <si>
    <t>Nghe → nhận diện → ghép → nói.</t>
  </si>
  <si>
    <t>Học đủ để thực hành, thay vì học mãi để chuẩn bị.</t>
  </si>
  <si>
    <t>Ghép âm biến những âm thanh xa lạ thành thứ có thể hiểu.</t>
  </si>
  <si>
    <t>Không bắt đầu bằng điều khó, hãy bắt đầu bằng điều quen.</t>
  </si>
  <si>
    <t>Hiểu cách ghép giúp việc ghi nhớ trở nên nhẹ hơn.</t>
  </si>
  <si>
    <t>Không học thuộc âm thanh, hãy hiểu cách chúng được tạo ra.</t>
  </si>
  <si>
    <t>Ghép âm là cách xây cầu từ tiếng Việt sang tiếng Anh.</t>
  </si>
  <si>
    <t>Điểm tương đồng giúp người Việt bước vào âm thanh tiếng Anh.</t>
  </si>
  <si>
    <t>Không né tránh khác biệt, hãy tìm cách tiếp cận nó.</t>
  </si>
  <si>
    <t>Đơn giản hóa điểm bắt đầu để tăng thời gian thực hành.</t>
  </si>
  <si>
    <t>Ghép âm hướng việc học về khả năng sử dụng.</t>
  </si>
  <si>
    <t>Không cần bắt đầu từ con số 0.</t>
  </si>
  <si>
    <t>Từ cái quen thuộc, mở rộng dần sang cái mới.</t>
  </si>
  <si>
    <t>Thương hiệu/phương pháp</t>
  </si>
  <si>
    <t>Ghép âm là học cách âm thanh kết nối với nhau.</t>
  </si>
  <si>
    <t>Ghép âm — đơn giản để bắt đầu, đủ thực tế để luyện.</t>
  </si>
  <si>
    <t>Ghép âm không thay thế IPA, mà tạo nền để tiếp cận IPA.</t>
  </si>
  <si>
    <t>Ghép âm ưu tiên hiểu, thực hành và lặp lại.</t>
  </si>
  <si>
    <t>Ghép âm hướng đến khả năng nghe và nói thực tế.</t>
  </si>
  <si>
    <t>Ghép âm bắt đầu từ cái quen thuộc, tiến đến cái khác biệt.</t>
  </si>
  <si>
    <t>Ghép âm: ít học thuật hơn, nhiều thực hành hơn.</t>
  </si>
  <si>
    <t>Ghép âm dành cho người muốn luyện, không cần có năng khiếu.</t>
  </si>
  <si>
    <t>Ghép âm — học vừa đủ, luyện thật nhiều.</t>
  </si>
  <si>
    <t>Ghép âm — hiểu âm thanh để nghe dễ hơn, nói tự nhiên hơn.</t>
  </si>
  <si>
    <t>Nên đặt vấn đề "tập luyện như thế nào" hơn là "học cái gì".</t>
  </si>
  <si>
    <t>Chỉ biết chưa hẳn đã làm được, luyện nhiều lần thì làm được.</t>
  </si>
  <si>
    <t>Quen tay hay việc, việc khó cũng thành dễ. Huống gì là việc không khó lắm như này.</t>
  </si>
  <si>
    <t>Không học lý thuyết thì không được, nhưng chỉ học lý thuyết thì càng không được.</t>
  </si>
  <si>
    <t>Năng khiếu thì không cần, làm đủ làm đúng là ok.</t>
  </si>
  <si>
    <t>Một lần luyện là một lần tiếng bộ, đơn giản là hãy tập luyện ngay luôn.</t>
  </si>
  <si>
    <t>Nếu ngẫm lại thấy chưa luyện lần nào, thì hãy tạm dừng học lại xem xét cái đã.</t>
  </si>
  <si>
    <t>Rèn luyện, rèn luyện, lặp lại, lặp lại. Chìa khóa của thành thạo không đến từ học hiểu.</t>
  </si>
  <si>
    <t>Khó là khi chưa quen, tập làm qua lại nhiều lần là quen.</t>
  </si>
  <si>
    <t>Nghe nói tiếng anh. Chúng ta thiếu "cách luyện" hơn là "cách học".</t>
  </si>
  <si>
    <t>Kỹ năng là một việc được làm đi lại nhiều lần. Bạn đã lặp kỹ năng mình muốn chưa?</t>
  </si>
  <si>
    <t>MKTENDinhVi</t>
  </si>
  <si>
    <t>MKTENDinhVi_</t>
  </si>
  <si>
    <t>HD-Bmark</t>
  </si>
  <si>
    <t>getIndexInTable</t>
  </si>
  <si>
    <t>type</t>
  </si>
  <si>
    <t>fsp</t>
  </si>
  <si>
    <t>A0</t>
  </si>
  <si>
    <t>A1</t>
  </si>
  <si>
    <t>ZZAA-002</t>
  </si>
  <si>
    <t>ZZAA-003</t>
  </si>
  <si>
    <t>ZZAA-004</t>
  </si>
  <si>
    <t>Sheet 2</t>
  </si>
  <si>
    <t>Sheet 3</t>
  </si>
  <si>
    <t>Sheet 4</t>
  </si>
  <si>
    <t>Sheet 5</t>
  </si>
  <si>
    <t>Sheet 6</t>
  </si>
  <si>
    <t>Sheet 7</t>
  </si>
  <si>
    <t>Sheet 8</t>
  </si>
  <si>
    <t>Sheet 9</t>
  </si>
  <si>
    <t>Sheet 10</t>
  </si>
  <si>
    <t>Sheet 11</t>
  </si>
  <si>
    <t>[{"name":"CMD-A01-A","index":1}]</t>
  </si>
  <si>
    <t>A2</t>
  </si>
  <si>
    <t>A3</t>
  </si>
  <si>
    <t>A4</t>
  </si>
  <si>
    <t>A5</t>
  </si>
  <si>
    <t>A6</t>
  </si>
  <si>
    <t>A7</t>
  </si>
  <si>
    <t>A8</t>
  </si>
  <si>
    <t>hi</t>
  </si>
  <si>
    <t>{"mode":null,"StartNUMBER":null,"videoSource":null,"volume":null,"imgSource":null,"timeFixed":null,"textFull":null,"text02":null,"INDEXFolder":null,"INDEXName":null,"obj":null,"type":null,"fsp":null,"img":null,"name":null,"gender":null}</t>
  </si>
  <si>
    <t>ZZAA-005</t>
  </si>
  <si>
    <t>ZZAA-006</t>
  </si>
  <si>
    <t>MODEOBJ.StartNUMBER</t>
  </si>
  <si>
    <t>NU10</t>
  </si>
  <si>
    <t>NU30</t>
  </si>
  <si>
    <t>NU50</t>
  </si>
  <si>
    <t>NU70</t>
  </si>
  <si>
    <t>NU90</t>
  </si>
  <si>
    <t>NU110</t>
  </si>
  <si>
    <t>NU130</t>
  </si>
  <si>
    <t>NU150</t>
  </si>
  <si>
    <t>NU170</t>
  </si>
  <si>
    <t>NU190</t>
  </si>
  <si>
    <t>NU210</t>
  </si>
  <si>
    <t>NU40</t>
  </si>
  <si>
    <t>NU60</t>
  </si>
  <si>
    <t>NU80</t>
  </si>
  <si>
    <t>NU100</t>
  </si>
  <si>
    <t>NU120</t>
  </si>
  <si>
    <t>NU140</t>
  </si>
  <si>
    <t>NU160</t>
  </si>
  <si>
    <t>NU180</t>
  </si>
  <si>
    <t>NU200</t>
  </si>
  <si>
    <t>NU220</t>
  </si>
  <si>
    <t>NU240</t>
  </si>
  <si>
    <t>{"mode":"ADD_mode000","StartNUMBER":"NU10","videoSource":null,"volume":null,"imgSource":null,"timeFixed":1,"textFull":"Nghe nói tiếng anh. Chúng ta thiếu 'cách luyện' hơn là 'cách học'.","text02":null,"INDEXFolder":"MKTENDinhVi","INDEXName":"MKTENDinhVi_","obj":"ADD_MODEOBJ000","type":"A1","fsp":"hi","img":"https://i.postimg.cc/vTh9hqF4/Emily-21.jpg","name":"Emily","gender":"female"}</t>
  </si>
  <si>
    <t>{"mode":null,"StartNUMBER":"NU10","videoSource":"longvideoBG_100lifehack.mp4","volume":0,"imgSource":null,"timeFixed":4,"textFull":null,"text02":null,"INDEXFolder":null,"INDEXName":null,"obj":null,"type":null,"fsp":null,"img":null,"name":null,"gender":null}</t>
  </si>
  <si>
    <t>{"mode":null,"StartNUMBER":"NU40","videoSource":"longvideoBG_100lifehack.mp4","volume":0,"imgSource":null,"timeFixed":4,"textFull":null,"text02":null,"INDEXFolder":null,"INDEXName":null,"obj":null,"type":null,"fsp":null,"img":null,"name":null,"gender":null}</t>
  </si>
  <si>
    <t>{"mode":"ADD_mode000","StartNUMBER":"NU30","videoSource":null,"volume":null,"imgSource":null,"timeFixed":1,"textFull":"Nên đặt vấn đề 'tập luyện như thế nào' hơn là 'học cái gì'.","text02":null,"INDEXFolder":"MKTENDinhVi","INDEXName":"MKTENDinhVi_","obj":"ADD_MODEOBJ000","type":"A1","fsp":"hi","img":"https://i.postimg.cc/vTh9hqF4/Emily-21.jpg","name":"Emily","gender":"female"}</t>
  </si>
  <si>
    <t>{"mode":null,"StartNUMBER":"NU30","videoSource":"longvideoBG_100lifehack.mp4","volume":0,"imgSource":null,"timeFixed":4,"textFull":null,"text02":null,"INDEXFolder":null,"INDEXName":null,"obj":null,"type":null,"fsp":null,"img":null,"name":null,"gender":null}</t>
  </si>
  <si>
    <t>{"mode":null,"StartNUMBER":"NU60","videoSource":"longvideoBG_100lifehack.mp4","volume":0,"imgSource":null,"timeFixed":4,"textFull":null,"text02":null,"INDEXFolder":null,"INDEXName":null,"obj":null,"type":null,"fsp":null,"img":null,"name":null,"gender":null}</t>
  </si>
  <si>
    <t>{"mode":"ADD_mode000","StartNUMBER":"NU50","videoSource":null,"volume":null,"imgSource":null,"timeFixed":1,"textFull":"Chỉ biết chưa hẳn đã làm được, luyện nhiều lần thì làm được.","text02":null,"INDEXFolder":"MKTENDinhVi","INDEXName":"MKTENDinhVi_","obj":"ADD_MODEOBJ000","type":"A1","fsp":"hi","img":"https://i.postimg.cc/vTh9hqF4/Emily-21.jpg","name":"Emily","gender":"female"}</t>
  </si>
  <si>
    <t>{"mode":null,"StartNUMBER":"NU50","videoSource":"longvideoBG_100lifehack.mp4","volume":0,"imgSource":null,"timeFixed":4,"textFull":null,"text02":null,"INDEXFolder":null,"INDEXName":null,"obj":null,"type":null,"fsp":null,"img":null,"name":null,"gender":null}</t>
  </si>
  <si>
    <t>{"mode":null,"StartNUMBER":"NU80","videoSource":"longvideoBG_100lifehack.mp4","volume":0,"imgSource":null,"timeFixed":4,"textFull":null,"text02":null,"INDEXFolder":null,"INDEXName":null,"obj":null,"type":null,"fsp":null,"img":null,"name":null,"gender":null}</t>
  </si>
  <si>
    <t>{"mode":"ADD_mode000","StartNUMBER":"NU70","videoSource":null,"volume":null,"imgSource":null,"timeFixed":1,"textFull":"Kỹ năng là một việc được làm đi lại nhiều lần. Bạn đã lặp kỹ năng mình muốn chưa?","text02":null,"INDEXFolder":"MKTENDinhVi","INDEXName":"MKTENDinhVi_","obj":"ADD_MODEOBJ000","type":"A1","fsp":"hi","img":"https://i.postimg.cc/vTh9hqF4/Emily-21.jpg","name":"Emily","gender":"female"}</t>
  </si>
  <si>
    <t>{"mode":null,"StartNUMBER":"NU70","videoSource":"longvideoBG_100lifehack.mp4","volume":0,"imgSource":null,"timeFixed":4,"textFull":null,"text02":null,"INDEXFolder":null,"INDEXName":null,"obj":null,"type":null,"fsp":null,"img":null,"name":null,"gender":null}</t>
  </si>
  <si>
    <t>{"mode":null,"StartNUMBER":"NU100","videoSource":"longvideoBG_100lifehack.mp4","volume":0,"imgSource":null,"timeFixed":4,"textFull":null,"text02":null,"INDEXFolder":null,"INDEXName":null,"obj":null,"type":null,"fsp":null,"img":null,"name":null,"gender":null}</t>
  </si>
  <si>
    <t>{"mode":"ADD_mode000","StartNUMBER":"NU90","videoSource":null,"volume":null,"imgSource":null,"timeFixed":1,"textFull":"Quen tay hay việc, việc khó cũng thành dễ. Huống gì là việc không khó lắm như này.","text02":null,"INDEXFolder":"MKTENDinhVi","INDEXName":"MKTENDinhVi_","obj":"ADD_MODEOBJ000","type":"A1","fsp":"hi","img":"https://i.postimg.cc/vTh9hqF4/Emily-21.jpg","name":"Emily","gender":"female"}</t>
  </si>
  <si>
    <t>{"mode":null,"StartNUMBER":"NU90","videoSource":"longvideoBG_100lifehack.mp4","volume":0,"imgSource":null,"timeFixed":4,"textFull":null,"text02":null,"INDEXFolder":null,"INDEXName":null,"obj":null,"type":null,"fsp":null,"img":null,"name":null,"gender":null}</t>
  </si>
  <si>
    <t>{"mode":null,"StartNUMBER":"NU120","videoSource":"longvideoBG_100lifehack.mp4","volume":0,"imgSource":null,"timeFixed":4,"textFull":null,"text02":null,"INDEXFolder":null,"INDEXName":null,"obj":null,"type":null,"fsp":null,"img":null,"name":null,"gender":null}</t>
  </si>
  <si>
    <t>{"mode":"ADD_mode000","StartNUMBER":"NU110","videoSource":null,"volume":null,"imgSource":null,"timeFixed":1,"textFull":"Không học lý thuyết thì không được, nhưng chỉ học lý thuyết thì càng không được.","text02":null,"INDEXFolder":"MKTENDinhVi","INDEXName":"MKTENDinhVi_","obj":"ADD_MODEOBJ000","type":"A1","fsp":"hi","img":"https://i.postimg.cc/vTh9hqF4/Emily-21.jpg","name":"Emily","gender":"female"}</t>
  </si>
  <si>
    <t>{"mode":null,"StartNUMBER":"NU110","videoSource":"longvideoBG_100lifehack.mp4","volume":0,"imgSource":null,"timeFixed":4,"textFull":null,"text02":null,"INDEXFolder":null,"INDEXName":null,"obj":null,"type":null,"fsp":null,"img":null,"name":null,"gender":null}</t>
  </si>
  <si>
    <t>{"mode":null,"StartNUMBER":"NU140","videoSource":"longvideoBG_100lifehack.mp4","volume":0,"imgSource":null,"timeFixed":4,"textFull":null,"text02":null,"INDEXFolder":null,"INDEXName":null,"obj":null,"type":null,"fsp":null,"img":null,"name":null,"gender":null}</t>
  </si>
  <si>
    <t>{"mode":"ADD_mode000","StartNUMBER":"NU130","videoSource":null,"volume":null,"imgSource":null,"timeFixed":1,"textFull":"Năng khiếu thì không cần, làm đủ làm đúng là ok.","text02":null,"INDEXFolder":"MKTENDinhVi","INDEXName":"MKTENDinhVi_","obj":"ADD_MODEOBJ000","type":"A1","fsp":"hi","img":"https://i.postimg.cc/vTh9hqF4/Emily-21.jpg","name":"Emily","gender":"female"}</t>
  </si>
  <si>
    <t>{"mode":null,"StartNUMBER":"NU130","videoSource":"longvideoBG_100lifehack.mp4","volume":0,"imgSource":null,"timeFixed":4,"textFull":null,"text02":null,"INDEXFolder":null,"INDEXName":null,"obj":null,"type":null,"fsp":null,"img":null,"name":null,"gender":null}</t>
  </si>
  <si>
    <t>{"mode":null,"StartNUMBER":"NU160","videoSource":"longvideoBG_100lifehack.mp4","volume":0,"imgSource":null,"timeFixed":4,"textFull":null,"text02":null,"INDEXFolder":null,"INDEXName":null,"obj":null,"type":null,"fsp":null,"img":null,"name":null,"gender":null}</t>
  </si>
  <si>
    <t>{"mode":"ADD_mode000","StartNUMBER":"NU150","videoSource":null,"volume":null,"imgSource":null,"timeFixed":1,"textFull":"Một lần luyện là một lần tiếng bộ, đơn giản là hãy tập luyện ngay luôn.","text02":null,"INDEXFolder":"MKTENDinhVi","INDEXName":"MKTENDinhVi_","obj":"ADD_MODEOBJ000","type":"A1","fsp":"hi","img":"https://i.postimg.cc/vTh9hqF4/Emily-21.jpg","name":"Emily","gender":"female"}</t>
  </si>
  <si>
    <t>{"mode":null,"StartNUMBER":"NU150","videoSource":"longvideoBG_100lifehack.mp4","volume":0,"imgSource":null,"timeFixed":4,"textFull":null,"text02":null,"INDEXFolder":null,"INDEXName":null,"obj":null,"type":null,"fsp":null,"img":null,"name":null,"gender":null}</t>
  </si>
  <si>
    <t>{"mode":null,"StartNUMBER":"NU180","videoSource":"longvideoBG_100lifehack.mp4","volume":0,"imgSource":null,"timeFixed":4,"textFull":null,"text02":null,"INDEXFolder":null,"INDEXName":null,"obj":null,"type":null,"fsp":null,"img":null,"name":null,"gender":null}</t>
  </si>
  <si>
    <t>{"mode":"ADD_mode000","StartNUMBER":"NU170","videoSource":null,"volume":null,"imgSource":null,"timeFixed":1,"textFull":"Nếu ngẫm lại thấy chưa luyện lần nào, thì hãy tạm dừng học lại xem xét cái đã.","text02":null,"INDEXFolder":"MKTENDinhVi","INDEXName":"MKTENDinhVi_","obj":"ADD_MODEOBJ000","type":"A1","fsp":"hi","img":"https://i.postimg.cc/vTh9hqF4/Emily-21.jpg","name":"Emily","gender":"female"}</t>
  </si>
  <si>
    <t>{"mode":null,"StartNUMBER":"NU170","videoSource":"longvideoBG_100lifehack.mp4","volume":0,"imgSource":null,"timeFixed":4,"textFull":null,"text02":null,"INDEXFolder":null,"INDEXName":null,"obj":null,"type":null,"fsp":null,"img":null,"name":null,"gender":null}</t>
  </si>
  <si>
    <t>{"mode":null,"StartNUMBER":"NU200","videoSource":"longvideoBG_100lifehack.mp4","volume":0,"imgSource":null,"timeFixed":4,"textFull":null,"text02":null,"INDEXFolder":null,"INDEXName":null,"obj":null,"type":null,"fsp":null,"img":null,"name":null,"gender":null}</t>
  </si>
  <si>
    <t>{"mode":"ADD_mode000","StartNUMBER":"NU190","videoSource":null,"volume":null,"imgSource":null,"timeFixed":1,"textFull":"Rèn luyện, rèn luyện, lặp lại, lặp lại. Chìa khóa của thành thạo không đến từ học hiểu.","text02":null,"INDEXFolder":"MKTENDinhVi","INDEXName":"MKTENDinhVi_","obj":"ADD_MODEOBJ000","type":"A1","fsp":"hi","img":"https://i.postimg.cc/vTh9hqF4/Emily-21.jpg","name":"Emily","gender":"female"}</t>
  </si>
  <si>
    <t>{"mode":null,"StartNUMBER":"NU190","videoSource":"longvideoBG_100lifehack.mp4","volume":0,"imgSource":null,"timeFixed":4,"textFull":null,"text02":null,"INDEXFolder":null,"INDEXName":null,"obj":null,"type":null,"fsp":null,"img":null,"name":null,"gender":null}</t>
  </si>
  <si>
    <t>{"mode":null,"StartNUMBER":"NU220","videoSource":"longvideoBG_100lifehack.mp4","volume":0,"imgSource":null,"timeFixed":4,"textFull":null,"text02":null,"INDEXFolder":null,"INDEXName":null,"obj":null,"type":null,"fsp":null,"img":null,"name":null,"gender":null}</t>
  </si>
  <si>
    <t>{"mode":"ADD_mode000","StartNUMBER":"NU210","videoSource":null,"volume":null,"imgSource":null,"timeFixed":1,"textFull":"Khó là khi chưa quen, tập làm qua lại nhiều lần là quen.","text02":null,"INDEXFolder":"MKTENDinhVi","INDEXName":"MKTENDinhVi_","obj":"ADD_MODEOBJ000","type":"A1","fsp":"hi","img":"https://i.postimg.cc/vTh9hqF4/Emily-21.jpg","name":"Emily","gender":"female"}</t>
  </si>
  <si>
    <t>{"mode":null,"StartNUMBER":"NU210","videoSource":"longvideoBG_100lifehack.mp4","volume":0,"imgSource":null,"timeFixed":4,"textFull":null,"text02":null,"INDEXFolder":null,"INDEXName":null,"obj":null,"type":null,"fsp":null,"img":null,"name":null,"gender":null}</t>
  </si>
  <si>
    <t>{"mode":null,"StartNUMBER":"NU240","videoSource":"longvideoBG_100lifehack.mp4","volume":0,"imgSource":null,"timeFixed":4,"textFull":null,"text02":null,"INDEXFolder":null,"INDEXName":null,"obj":null,"type":null,"fsp":null,"img":null,"name":null,"gender":null}</t>
  </si>
  <si>
    <t>#kadienghepam</t>
  </si>
  <si>
    <t>#renluyentienganhnghenoi</t>
  </si>
  <si>
    <t>#online</t>
  </si>
  <si>
    <t>Nghe nói không khó!</t>
  </si>
  <si>
    <t xml:space="preserve"> Hướng dẫn ghép âm và rèn luyện nghe nói tiếng anh online
#kadienghepam
#renluyentienganhnghenoi
#online</t>
  </si>
  <si>
    <t>S001</t>
  </si>
  <si>
    <t>S002</t>
  </si>
  <si>
    <t>S003</t>
  </si>
  <si>
    <t>S004</t>
  </si>
  <si>
    <t>S005</t>
  </si>
  <si>
    <t>S006</t>
  </si>
  <si>
    <t>S007</t>
  </si>
  <si>
    <t>S008</t>
  </si>
  <si>
    <t>S009</t>
  </si>
  <si>
    <t>S010</t>
  </si>
  <si>
    <t>S011</t>
  </si>
  <si>
    <t>S001 Hướng dẫn ghép âm và rèn luyện nghe nói tiếng anh online
#kadienghepam
#renluyentienganhnghenoi
#online</t>
  </si>
  <si>
    <t>S002 Hướng dẫn ghép âm và rèn luyện nghe nói tiếng anh online
#kadienghepam
#renluyentienganhnghenoi
#online</t>
  </si>
  <si>
    <t>S003 Hướng dẫn ghép âm và rèn luyện nghe nói tiếng anh online
#kadienghepam
#renluyentienganhnghenoi
#online</t>
  </si>
  <si>
    <t>S004 Hướng dẫn ghép âm và rèn luyện nghe nói tiếng anh online
#kadienghepam
#renluyentienganhnghenoi
#online</t>
  </si>
  <si>
    <t>S005 Hướng dẫn ghép âm và rèn luyện nghe nói tiếng anh online
#kadienghepam
#renluyentienganhnghenoi
#online</t>
  </si>
  <si>
    <t>S006 Hướng dẫn ghép âm và rèn luyện nghe nói tiếng anh online
#kadienghepam
#renluyentienganhnghenoi
#online</t>
  </si>
  <si>
    <t>S007 Hướng dẫn ghép âm và rèn luyện nghe nói tiếng anh online
#kadienghepam
#renluyentienganhnghenoi
#online</t>
  </si>
  <si>
    <t>S008 Hướng dẫn ghép âm và rèn luyện nghe nói tiếng anh online
#kadienghepam
#renluyentienganhnghenoi
#online</t>
  </si>
  <si>
    <t>S009 Hướng dẫn ghép âm và rèn luyện nghe nói tiếng anh online
#kadienghepam
#renluyentienganhnghenoi
#online</t>
  </si>
  <si>
    <t>S010 Hướng dẫn ghép âm và rèn luyện nghe nói tiếng anh online
#kadienghepam
#renluyentienganhnghenoi
#online</t>
  </si>
  <si>
    <t>S011 Hướng dẫn ghép âm và rèn luyện nghe nói tiếng anh online
#kadienghepam
#renluyentienganhnghenoi
#online</t>
  </si>
  <si>
    <t>DIVND001</t>
  </si>
  <si>
    <t>DIVoutline</t>
  </si>
  <si>
    <t>{
  position: "absolute",
  top: "15%",
  left: "5%",
  right: "5%",
  zIndex: 100 }</t>
  </si>
  <si>
    <t xml:space="preserve">  {fontSize: 80,
  color: "blue",
  fontWeight: 700,
  lineHeight: 1.1,
  fontStyle: "italic"}</t>
  </si>
  <si>
    <t xml:space="preserve">  {textAlign: "left",
  whiteSpace: "pre-line",
  padding: "2%",
  borderRadius: "15px",
  border: "2px solid rgba(0, 0, 0, 0.25)",}</t>
  </si>
  <si>
    <t>{  backgroundImage: `
    linear-gradient(
      rgba(255, 255, 255, 0.70),
      rgba(255, 255, 255, 0.70)
    ),
    url('/assets/BG/BG_canhan.png')
  `,
  backgroundSize: "cover",
  backgroundPosition: "center",
  boxShadow: "0 4px 12px rgba(0,0,0,0.25)"
}</t>
  </si>
  <si>
    <t>DIVND001-css</t>
  </si>
  <si>
    <t>DIVND002</t>
  </si>
  <si>
    <t>AAAAAAAAAAAAAAA</t>
  </si>
  <si>
    <t>DIVND002-css</t>
  </si>
  <si>
    <t>{  zIndex: 101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</si>
</sst>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4"/>
      <color theme="1"/>
      <name val="Cambria"/>
      <family val="1"/>
    </font>
    <font>
      <sz val="12"/>
      <color theme="1"/>
      <name val="Cambria"/>
      <family val="1"/>
    </font>
    <font>
      <sz val="8"/>
      <name val="Calibri"/>
      <family val="2"/>
      <scheme val="minor"/>
    </font>
    <font>
      <sz val="16"/>
      <color theme="1"/>
      <name val="Cambria"/>
      <family val="1"/>
    </font>
    <font>
      <sz val="14"/>
      <color theme="1"/>
      <name val="Times New Roman"/>
      <family val="1"/>
    </font>
    <font>
      <sz val="13"/>
      <color theme="1"/>
      <name val="Times New Roman"/>
      <family val="1"/>
    </font>
    <font>
      <b/>
      <sz val="11"/>
      <color theme="1"/>
      <name val="Calibri"/>
      <family val="2"/>
      <scheme val="minor"/>
    </font>
    <font>
      <sz val="11"/>
      <color theme="1"/>
      <name val="Times New Roman"/>
      <family val="1"/>
    </font>
    <font>
      <b/>
      <sz val="11"/>
      <color theme="1"/>
      <name val="Times New Roman"/>
      <family val="1"/>
    </font>
    <font>
      <sz val="11"/>
      <color theme="1"/>
      <name val="Arial Unicode MS"/>
    </font>
    <font>
      <b/>
      <sz val="10"/>
      <color rgb="FFD32F2F"/>
      <name val="Segoe UI"/>
      <family val="2"/>
    </font>
    <font>
      <b/>
      <sz val="12"/>
      <color theme="1"/>
      <name val="Times New Roman"/>
      <family val="1"/>
    </font>
    <font>
      <sz val="12"/>
      <color theme="1"/>
      <name val="Times New Roman"/>
      <family val="1"/>
    </font>
    <font>
      <sz val="24"/>
      <color theme="1"/>
      <name val="Times New Roman"/>
      <family val="1"/>
    </font>
    <font>
      <b/>
      <sz val="11"/>
      <color theme="1"/>
      <name val="Cambria"/>
      <family val="1"/>
    </font>
    <font>
      <sz val="11"/>
      <color theme="1"/>
      <name val="Cambria"/>
      <family val="1"/>
    </font>
    <font>
      <b/>
      <sz val="11"/>
      <color rgb="FFFF0000"/>
      <name val="Cambria"/>
      <family val="1"/>
    </font>
    <font>
      <sz val="11"/>
      <color rgb="FFFF0000"/>
      <name val="Cambria"/>
      <family val="1"/>
    </font>
    <font>
      <sz val="11"/>
      <name val="Cambria"/>
      <family val="1"/>
    </font>
    <font>
      <sz val="10"/>
      <color rgb="FF14181F"/>
      <name val="Calibri"/>
      <family val="2"/>
      <scheme val="minor"/>
    </font>
    <font>
      <sz val="12"/>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9F9F9"/>
        <bgColor indexed="64"/>
      </patternFill>
    </fill>
    <fill>
      <patternFill patternType="solid">
        <fgColor theme="2"/>
        <bgColor indexed="64"/>
      </patternFill>
    </fill>
    <fill>
      <patternFill patternType="solid">
        <fgColor rgb="FFFFFF0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DDDDDD"/>
      </left>
      <right style="medium">
        <color rgb="FFDDDDDD"/>
      </right>
      <top style="medium">
        <color rgb="FFDDDDDD"/>
      </top>
      <bottom style="medium">
        <color rgb="FFDDDDDD"/>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78">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vertical="top"/>
    </xf>
    <xf numFmtId="0" fontId="6" fillId="2" borderId="1" xfId="0" applyFont="1" applyFill="1" applyBorder="1" applyAlignment="1">
      <alignment vertical="center"/>
    </xf>
    <xf numFmtId="0" fontId="0" fillId="0" borderId="1" xfId="0" applyBorder="1"/>
    <xf numFmtId="0" fontId="5" fillId="2" borderId="1" xfId="0" applyFont="1" applyFill="1" applyBorder="1" applyAlignment="1">
      <alignment horizontal="left" vertical="top"/>
    </xf>
    <xf numFmtId="0" fontId="7" fillId="0" borderId="1" xfId="0" applyFont="1" applyBorder="1"/>
    <xf numFmtId="0" fontId="8" fillId="2" borderId="1" xfId="0" applyFont="1" applyFill="1" applyBorder="1" applyAlignment="1">
      <alignment vertical="center"/>
    </xf>
    <xf numFmtId="0" fontId="9" fillId="2" borderId="1" xfId="0" applyFont="1" applyFill="1" applyBorder="1" applyAlignment="1">
      <alignment vertical="center"/>
    </xf>
    <xf numFmtId="0" fontId="10" fillId="2" borderId="1" xfId="0" applyFont="1" applyFill="1" applyBorder="1" applyAlignment="1">
      <alignment vertical="center"/>
    </xf>
    <xf numFmtId="0" fontId="11" fillId="3" borderId="2" xfId="0" applyFont="1" applyFill="1" applyBorder="1" applyAlignment="1">
      <alignment vertical="top" wrapText="1"/>
    </xf>
    <xf numFmtId="0" fontId="0" fillId="0" borderId="0" xfId="0" applyAlignment="1">
      <alignment vertical="center" wrapText="1"/>
    </xf>
    <xf numFmtId="0" fontId="11" fillId="4" borderId="2" xfId="0" applyFont="1" applyFill="1" applyBorder="1" applyAlignment="1">
      <alignment vertical="top" wrapText="1"/>
    </xf>
    <xf numFmtId="0" fontId="12" fillId="0" borderId="1" xfId="0" applyFont="1" applyBorder="1" applyAlignment="1">
      <alignment vertical="center" wrapText="1"/>
    </xf>
    <xf numFmtId="0" fontId="8" fillId="0" borderId="1" xfId="0" applyFont="1" applyBorder="1" applyAlignment="1">
      <alignment vertical="center" wrapText="1"/>
    </xf>
    <xf numFmtId="0" fontId="13" fillId="0" borderId="1" xfId="0" applyFont="1" applyBorder="1"/>
    <xf numFmtId="0" fontId="8" fillId="2" borderId="1" xfId="0" applyFont="1" applyFill="1" applyBorder="1" applyAlignment="1">
      <alignment vertical="center" wrapText="1"/>
    </xf>
    <xf numFmtId="0" fontId="13" fillId="0" borderId="1" xfId="0" applyFont="1" applyBorder="1" applyAlignment="1">
      <alignment vertical="center" wrapText="1"/>
    </xf>
    <xf numFmtId="0" fontId="0" fillId="0" borderId="0" xfId="0" applyAlignment="1">
      <alignment wrapText="1"/>
    </xf>
    <xf numFmtId="0" fontId="5" fillId="2" borderId="1" xfId="0" applyFont="1" applyFill="1" applyBorder="1" applyAlignment="1">
      <alignment horizontal="left" vertical="top" wrapText="1"/>
    </xf>
    <xf numFmtId="0" fontId="0" fillId="2" borderId="1" xfId="0" applyFill="1" applyBorder="1" applyAlignment="1">
      <alignment vertical="top"/>
    </xf>
    <xf numFmtId="0" fontId="5" fillId="0" borderId="1" xfId="0" applyFont="1" applyBorder="1" applyAlignment="1">
      <alignment vertical="top"/>
    </xf>
    <xf numFmtId="0" fontId="0" fillId="0" borderId="0" xfId="0" quotePrefix="1" applyAlignment="1">
      <alignment vertical="top"/>
    </xf>
    <xf numFmtId="0" fontId="9" fillId="5" borderId="1" xfId="0" applyFont="1" applyFill="1" applyBorder="1" applyAlignment="1">
      <alignment vertical="center"/>
    </xf>
    <xf numFmtId="0" fontId="2" fillId="5" borderId="0" xfId="0" applyFont="1" applyFill="1" applyAlignment="1">
      <alignment vertical="top" wrapText="1"/>
    </xf>
    <xf numFmtId="0" fontId="8" fillId="5" borderId="1" xfId="0" applyFont="1" applyFill="1" applyBorder="1" applyAlignment="1">
      <alignment vertical="center"/>
    </xf>
    <xf numFmtId="0" fontId="7" fillId="5" borderId="1" xfId="0" applyFont="1" applyFill="1" applyBorder="1"/>
    <xf numFmtId="0" fontId="0" fillId="5" borderId="1" xfId="0" applyFill="1" applyBorder="1"/>
    <xf numFmtId="0" fontId="11" fillId="5" borderId="2" xfId="0" applyFont="1" applyFill="1" applyBorder="1" applyAlignment="1">
      <alignment vertical="top" wrapText="1"/>
    </xf>
    <xf numFmtId="0" fontId="11" fillId="4" borderId="0" xfId="0" applyFont="1" applyFill="1" applyAlignment="1">
      <alignment vertical="top" wrapText="1"/>
    </xf>
    <xf numFmtId="0" fontId="5" fillId="2" borderId="0" xfId="0" applyFont="1" applyFill="1" applyAlignment="1">
      <alignment horizontal="left" vertical="top"/>
    </xf>
    <xf numFmtId="0" fontId="5" fillId="0" borderId="0" xfId="0" applyFont="1" applyAlignment="1">
      <alignment vertical="top"/>
    </xf>
    <xf numFmtId="0" fontId="0" fillId="0" borderId="1" xfId="0" applyBorder="1" applyAlignment="1">
      <alignment vertical="top"/>
    </xf>
    <xf numFmtId="0" fontId="1" fillId="0" borderId="1" xfId="0" applyFont="1" applyBorder="1"/>
    <xf numFmtId="0" fontId="4" fillId="0" borderId="0" xfId="0" applyFont="1" applyAlignment="1">
      <alignment vertical="top" wrapText="1"/>
    </xf>
    <xf numFmtId="0" fontId="0" fillId="0" borderId="0" xfId="0" quotePrefix="1"/>
    <xf numFmtId="0" fontId="5" fillId="5" borderId="1" xfId="0" applyFont="1" applyFill="1" applyBorder="1" applyAlignment="1">
      <alignment horizontal="left" vertical="top"/>
    </xf>
    <xf numFmtId="0" fontId="8" fillId="0" borderId="0" xfId="0" applyFont="1"/>
    <xf numFmtId="0" fontId="9" fillId="0" borderId="0" xfId="0" applyFont="1" applyAlignment="1">
      <alignment wrapText="1"/>
    </xf>
    <xf numFmtId="0" fontId="0" fillId="0" borderId="0" xfId="0" applyAlignment="1">
      <alignment vertical="top" wrapText="1"/>
    </xf>
    <xf numFmtId="0" fontId="8" fillId="0" borderId="0" xfId="0" applyFont="1" applyAlignment="1">
      <alignment vertical="top" wrapText="1"/>
    </xf>
    <xf numFmtId="0" fontId="15" fillId="0" borderId="1" xfId="0" applyFont="1" applyBorder="1" applyAlignment="1">
      <alignment horizontal="right" vertical="top" wrapText="1"/>
    </xf>
    <xf numFmtId="0" fontId="15" fillId="0" borderId="1" xfId="0" applyFont="1" applyBorder="1" applyAlignment="1">
      <alignment horizontal="center" vertical="top" wrapText="1"/>
    </xf>
    <xf numFmtId="0" fontId="16" fillId="0" borderId="1" xfId="0" applyFont="1" applyBorder="1" applyAlignment="1">
      <alignment horizontal="right" vertical="top" wrapText="1"/>
    </xf>
    <xf numFmtId="0" fontId="16" fillId="0" borderId="1" xfId="0" applyFont="1" applyBorder="1" applyAlignment="1">
      <alignment vertical="top" wrapText="1"/>
    </xf>
    <xf numFmtId="0" fontId="16" fillId="6" borderId="1" xfId="0" applyFont="1" applyFill="1" applyBorder="1" applyAlignment="1">
      <alignment vertical="top" wrapText="1"/>
    </xf>
    <xf numFmtId="0" fontId="17" fillId="0" borderId="1" xfId="0" applyFont="1" applyBorder="1" applyAlignment="1">
      <alignment horizontal="center" vertical="top" wrapText="1"/>
    </xf>
    <xf numFmtId="0" fontId="18" fillId="0" borderId="1" xfId="0" applyFont="1" applyBorder="1" applyAlignment="1">
      <alignment vertical="top" wrapText="1"/>
    </xf>
    <xf numFmtId="0" fontId="16" fillId="7" borderId="1" xfId="0" applyFont="1" applyFill="1" applyBorder="1" applyAlignment="1">
      <alignment vertical="top" wrapText="1"/>
    </xf>
    <xf numFmtId="0" fontId="19" fillId="7" borderId="1" xfId="0" applyFont="1" applyFill="1" applyBorder="1" applyAlignment="1">
      <alignment vertical="top" wrapText="1"/>
    </xf>
    <xf numFmtId="0" fontId="5" fillId="0" borderId="0" xfId="0" applyFont="1"/>
    <xf numFmtId="0" fontId="20" fillId="0" borderId="0" xfId="0" applyFont="1" applyAlignment="1">
      <alignment vertical="center"/>
    </xf>
    <xf numFmtId="0" fontId="16" fillId="0" borderId="0" xfId="0" applyFont="1" applyAlignment="1">
      <alignment vertical="top" wrapText="1"/>
    </xf>
    <xf numFmtId="0" fontId="2" fillId="0" borderId="0" xfId="0" applyFont="1" applyAlignment="1">
      <alignment wrapText="1"/>
    </xf>
    <xf numFmtId="0" fontId="4" fillId="0" borderId="0" xfId="0" applyFont="1" applyAlignment="1">
      <alignment wrapText="1"/>
    </xf>
    <xf numFmtId="0" fontId="14" fillId="0" borderId="0" xfId="0" applyFont="1"/>
    <xf numFmtId="0" fontId="0" fillId="0" borderId="3" xfId="0" applyBorder="1"/>
    <xf numFmtId="0" fontId="0" fillId="0" borderId="4" xfId="0" applyBorder="1"/>
    <xf numFmtId="0" fontId="13" fillId="0" borderId="0" xfId="0" applyFont="1" applyAlignment="1">
      <alignment vertical="center" wrapText="1"/>
    </xf>
    <xf numFmtId="0" fontId="5" fillId="0" borderId="1" xfId="0" applyFont="1" applyBorder="1" applyAlignment="1">
      <alignment vertical="top" wrapText="1"/>
    </xf>
    <xf numFmtId="0" fontId="0" fillId="0" borderId="0" xfId="0" applyAlignment="1">
      <alignment horizontal="right" vertical="center" wrapText="1"/>
    </xf>
    <xf numFmtId="0" fontId="7" fillId="0" borderId="0" xfId="0" applyFont="1" applyAlignment="1">
      <alignment horizontal="right"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horizontal="right" vertical="center"/>
    </xf>
    <xf numFmtId="0" fontId="7" fillId="0" borderId="0" xfId="0" applyFont="1" applyAlignment="1">
      <alignment horizontal="center" vertical="center"/>
    </xf>
    <xf numFmtId="0" fontId="0" fillId="0" borderId="0" xfId="0" applyAlignment="1">
      <alignment horizontal="right" vertical="center"/>
    </xf>
    <xf numFmtId="0" fontId="7" fillId="0" borderId="0" xfId="0" applyFont="1" applyAlignment="1">
      <alignment vertical="center"/>
    </xf>
    <xf numFmtId="0" fontId="7" fillId="0" borderId="0" xfId="0" applyFont="1"/>
    <xf numFmtId="0" fontId="9" fillId="0" borderId="0" xfId="0" applyFont="1" applyAlignment="1">
      <alignment horizontal="right" vertical="top" wrapText="1"/>
    </xf>
    <xf numFmtId="0" fontId="8" fillId="0" borderId="0" xfId="0" applyFont="1" applyAlignment="1">
      <alignment horizontal="right" vertical="top" wrapText="1"/>
    </xf>
    <xf numFmtId="0" fontId="9" fillId="0" borderId="0" xfId="0" applyFont="1" applyAlignment="1">
      <alignment vertical="top" wrapText="1"/>
    </xf>
    <xf numFmtId="0" fontId="21" fillId="0" borderId="0" xfId="0" applyFont="1" applyAlignment="1">
      <alignment vertical="top"/>
    </xf>
    <xf numFmtId="0" fontId="0" fillId="0" borderId="0" xfId="0" applyAlignment="1">
      <alignment vertical="center"/>
    </xf>
    <xf numFmtId="0" fontId="8" fillId="0" borderId="1" xfId="0" applyFont="1" applyBorder="1" applyAlignment="1">
      <alignment vertical="top"/>
    </xf>
    <xf numFmtId="0" fontId="0" fillId="6" borderId="0" xfId="0" applyFill="1"/>
    <xf numFmtId="0" fontId="0" fillId="0" borderId="1" xfId="0" applyBorder="1" applyAlignment="1"/>
  </cellXfs>
  <cellStyles count="1">
    <cellStyle name="Normal"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workbookViewId="0">
      <selection activeCell="B13" sqref="B13"/>
    </sheetView>
  </sheetViews>
  <sheetFormatPr defaultColWidth="26.44140625" defaultRowHeight="17.399999999999999"/>
  <cols>
    <col min="1" max="16384" width="26.44140625" style="1"/>
  </cols>
  <sheetData>
    <row r="1" spans="1:13">
      <c r="A1" s="1" t="s">
        <v>274</v>
      </c>
      <c r="B1" s="1" t="s">
        <v>275</v>
      </c>
      <c r="C1" s="33" t="s">
        <v>1</v>
      </c>
      <c r="D1" s="33" t="s">
        <v>0</v>
      </c>
      <c r="E1" s="33" t="s">
        <v>24</v>
      </c>
      <c r="F1" s="33" t="s">
        <v>25</v>
      </c>
      <c r="G1" s="33" t="s">
        <v>26</v>
      </c>
      <c r="H1" s="33" t="s">
        <v>27</v>
      </c>
      <c r="I1" s="33" t="s">
        <v>28</v>
      </c>
      <c r="J1" s="33" t="s">
        <v>29</v>
      </c>
      <c r="K1" s="33" t="s">
        <v>30</v>
      </c>
      <c r="L1" s="33" t="s">
        <v>31</v>
      </c>
      <c r="M1" s="33" t="s">
        <v>32</v>
      </c>
    </row>
    <row r="2" spans="1:13" s="34" customFormat="1">
      <c r="A2" s="34" t="s">
        <v>272</v>
      </c>
      <c r="B2" s="34" t="s">
        <v>276</v>
      </c>
      <c r="C2" s="33" t="s">
        <v>33</v>
      </c>
      <c r="D2" s="33" t="s">
        <v>110</v>
      </c>
      <c r="E2" s="33"/>
      <c r="F2" s="33" t="s">
        <v>111</v>
      </c>
      <c r="G2" s="33"/>
      <c r="H2" s="33"/>
      <c r="I2" s="33"/>
      <c r="J2" s="33"/>
      <c r="K2" s="33"/>
      <c r="L2" s="33"/>
      <c r="M2" s="33"/>
    </row>
    <row r="3" spans="1:13" s="34" customFormat="1">
      <c r="C3" s="33" t="s">
        <v>33</v>
      </c>
      <c r="D3" s="33" t="s">
        <v>10</v>
      </c>
      <c r="E3" s="33"/>
      <c r="F3" s="33" t="s">
        <v>17</v>
      </c>
      <c r="G3" s="33"/>
      <c r="H3" s="33"/>
      <c r="I3" s="33"/>
      <c r="J3" s="33"/>
      <c r="K3" s="33"/>
      <c r="L3" s="33"/>
      <c r="M3" s="33"/>
    </row>
    <row r="4" spans="1:13" s="34" customFormat="1">
      <c r="C4" s="33" t="s">
        <v>33</v>
      </c>
      <c r="D4" s="33" t="s">
        <v>11</v>
      </c>
      <c r="E4" s="33"/>
      <c r="F4" s="33" t="s">
        <v>18</v>
      </c>
      <c r="G4" s="33"/>
      <c r="H4" s="33"/>
      <c r="I4" s="33"/>
      <c r="J4" s="33"/>
      <c r="K4" s="33"/>
      <c r="L4" s="33"/>
      <c r="M4" s="33"/>
    </row>
    <row r="5" spans="1:13" s="34" customFormat="1">
      <c r="C5" s="33" t="s">
        <v>33</v>
      </c>
      <c r="D5" s="33" t="s">
        <v>12</v>
      </c>
      <c r="E5" s="33"/>
      <c r="F5" s="33" t="s">
        <v>19</v>
      </c>
      <c r="G5" s="33"/>
      <c r="H5" s="33"/>
      <c r="I5" s="33"/>
      <c r="J5" s="33"/>
      <c r="K5" s="33"/>
      <c r="L5" s="33"/>
      <c r="M5" s="33"/>
    </row>
    <row r="6" spans="1:13" s="34" customFormat="1">
      <c r="C6" s="33" t="s">
        <v>33</v>
      </c>
      <c r="D6" s="33" t="s">
        <v>13</v>
      </c>
      <c r="E6" s="33"/>
      <c r="F6" s="33" t="s">
        <v>20</v>
      </c>
      <c r="G6" s="33"/>
      <c r="H6" s="33"/>
      <c r="I6" s="33"/>
      <c r="J6" s="33"/>
      <c r="K6" s="33"/>
      <c r="L6" s="33"/>
      <c r="M6" s="33"/>
    </row>
    <row r="7" spans="1:13" s="34" customFormat="1">
      <c r="C7" s="33" t="s">
        <v>33</v>
      </c>
      <c r="D7" s="33" t="s">
        <v>14</v>
      </c>
      <c r="E7" s="33"/>
      <c r="F7" s="33" t="s">
        <v>21</v>
      </c>
      <c r="G7" s="33"/>
      <c r="H7" s="33"/>
      <c r="I7" s="33"/>
      <c r="J7" s="33"/>
      <c r="K7" s="33"/>
      <c r="L7" s="33"/>
      <c r="M7" s="33"/>
    </row>
    <row r="8" spans="1:13" s="34" customFormat="1">
      <c r="C8" s="33" t="s">
        <v>33</v>
      </c>
      <c r="D8" s="33" t="s">
        <v>15</v>
      </c>
      <c r="E8" s="33"/>
      <c r="F8" s="33" t="s">
        <v>22</v>
      </c>
      <c r="G8" s="33"/>
      <c r="H8" s="33"/>
      <c r="I8" s="33"/>
      <c r="J8" s="33"/>
      <c r="K8" s="33"/>
      <c r="L8" s="33"/>
      <c r="M8" s="33"/>
    </row>
    <row r="9" spans="1:13" s="34" customFormat="1">
      <c r="C9" s="33" t="s">
        <v>33</v>
      </c>
      <c r="D9" s="33" t="s">
        <v>16</v>
      </c>
      <c r="E9" s="33"/>
      <c r="F9" s="33" t="s">
        <v>23</v>
      </c>
      <c r="G9" s="33"/>
      <c r="H9" s="33"/>
      <c r="I9" s="33"/>
      <c r="J9" s="33"/>
      <c r="K9" s="33"/>
      <c r="L9" s="33"/>
      <c r="M9" s="33"/>
    </row>
    <row r="10" spans="1:13" s="34" customFormat="1">
      <c r="C10" s="33" t="s">
        <v>33</v>
      </c>
      <c r="D10" s="33" t="s">
        <v>80</v>
      </c>
      <c r="E10" s="33"/>
      <c r="F10" s="33" t="s">
        <v>81</v>
      </c>
      <c r="G10" s="33"/>
      <c r="H10" s="33"/>
      <c r="I10" s="33"/>
      <c r="J10" s="33"/>
      <c r="K10" s="33"/>
      <c r="L10" s="33"/>
      <c r="M10" s="33"/>
    </row>
    <row r="11" spans="1:13">
      <c r="C11" s="33"/>
      <c r="D11" s="33"/>
      <c r="E11" s="33"/>
      <c r="F11" s="33"/>
    </row>
    <row r="12" spans="1:13">
      <c r="C12" s="4"/>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E9617-7274-45B0-9A02-61124C36A37A}">
  <dimension ref="A1:T30"/>
  <sheetViews>
    <sheetView topLeftCell="A18" zoomScale="76" zoomScaleNormal="76" workbookViewId="0">
      <selection activeCell="F22" sqref="F22"/>
    </sheetView>
  </sheetViews>
  <sheetFormatPr defaultColWidth="40.33203125" defaultRowHeight="14.4"/>
  <cols>
    <col min="1" max="1" width="5" style="3" customWidth="1"/>
    <col min="2" max="2" width="40.33203125" style="3"/>
    <col min="3" max="3" width="59.88671875" style="3" customWidth="1"/>
    <col min="4" max="16384" width="40.33203125" style="3"/>
  </cols>
  <sheetData>
    <row r="1" spans="1:20" ht="18">
      <c r="A1" s="6" t="s">
        <v>34</v>
      </c>
      <c r="B1" s="6" t="s">
        <v>35</v>
      </c>
      <c r="C1" s="6" t="s">
        <v>36</v>
      </c>
      <c r="D1" s="6" t="s">
        <v>37</v>
      </c>
      <c r="E1" s="6" t="s">
        <v>38</v>
      </c>
      <c r="F1" s="6" t="s">
        <v>39</v>
      </c>
      <c r="G1" s="6" t="s">
        <v>40</v>
      </c>
      <c r="H1" s="6" t="s">
        <v>41</v>
      </c>
      <c r="I1" s="6" t="s">
        <v>42</v>
      </c>
      <c r="J1" s="6" t="s">
        <v>43</v>
      </c>
      <c r="K1" s="6" t="s">
        <v>44</v>
      </c>
      <c r="L1" s="6" t="s">
        <v>45</v>
      </c>
      <c r="M1" s="6" t="s">
        <v>46</v>
      </c>
      <c r="N1" s="6" t="s">
        <v>47</v>
      </c>
      <c r="O1" s="6" t="s">
        <v>48</v>
      </c>
      <c r="P1" s="6" t="s">
        <v>49</v>
      </c>
      <c r="Q1" s="6" t="s">
        <v>50</v>
      </c>
      <c r="R1" s="6" t="s">
        <v>51</v>
      </c>
      <c r="S1" s="6" t="s">
        <v>52</v>
      </c>
      <c r="T1" s="6" t="s">
        <v>53</v>
      </c>
    </row>
    <row r="2" spans="1:20" ht="18">
      <c r="A2" s="6"/>
      <c r="B2" s="6" t="s">
        <v>54</v>
      </c>
      <c r="C2" s="6" t="s">
        <v>55</v>
      </c>
      <c r="D2" s="6" t="s">
        <v>56</v>
      </c>
      <c r="E2" s="6" t="s">
        <v>284</v>
      </c>
      <c r="F2" s="6"/>
      <c r="G2" s="6"/>
      <c r="H2" s="6"/>
      <c r="I2" s="6"/>
      <c r="J2" s="6"/>
      <c r="K2" s="6"/>
      <c r="L2" s="6"/>
      <c r="M2" s="6"/>
      <c r="N2" s="6"/>
      <c r="O2" s="6"/>
      <c r="P2" s="6"/>
      <c r="Q2" s="6"/>
      <c r="R2" s="6"/>
      <c r="S2" s="6"/>
      <c r="T2" s="6"/>
    </row>
    <row r="3" spans="1:20" ht="18">
      <c r="A3" s="6"/>
      <c r="B3" s="6" t="s">
        <v>57</v>
      </c>
      <c r="C3" s="6"/>
      <c r="D3" s="6" t="s">
        <v>56</v>
      </c>
      <c r="E3" s="21"/>
      <c r="F3" s="6"/>
      <c r="G3" s="6"/>
      <c r="H3" s="6"/>
      <c r="I3" s="6"/>
      <c r="J3" s="6"/>
      <c r="K3" s="6"/>
      <c r="L3" s="6"/>
      <c r="M3" s="6"/>
      <c r="N3" s="6"/>
      <c r="O3" s="6"/>
      <c r="P3" s="6"/>
      <c r="Q3" s="6"/>
      <c r="R3" s="6"/>
      <c r="S3" s="6"/>
      <c r="T3" s="6"/>
    </row>
    <row r="4" spans="1:20" ht="18">
      <c r="A4" s="6"/>
      <c r="B4" s="6"/>
      <c r="C4" s="6"/>
      <c r="D4" s="21"/>
      <c r="E4" s="6"/>
      <c r="F4" s="6"/>
      <c r="G4" s="6"/>
      <c r="H4" s="6"/>
      <c r="I4" s="6"/>
      <c r="J4" s="6"/>
      <c r="K4" s="6"/>
      <c r="L4" s="6"/>
      <c r="M4" s="6"/>
      <c r="N4" s="6"/>
      <c r="O4" s="6"/>
      <c r="P4" s="6"/>
      <c r="Q4" s="6"/>
      <c r="R4" s="6"/>
      <c r="S4" s="6"/>
      <c r="T4" s="6"/>
    </row>
    <row r="5" spans="1:20" ht="18">
      <c r="A5" s="6"/>
      <c r="B5" s="6" t="s">
        <v>58</v>
      </c>
      <c r="C5" s="6" t="s">
        <v>83</v>
      </c>
      <c r="D5" s="6" t="s">
        <v>56</v>
      </c>
      <c r="E5" s="6" t="s">
        <v>99</v>
      </c>
      <c r="F5" s="6" t="s">
        <v>103</v>
      </c>
      <c r="G5" s="6" t="s">
        <v>60</v>
      </c>
      <c r="H5" s="37" t="str">
        <f>'5'!G2</f>
        <v>{ paddingTop: "200"}</v>
      </c>
      <c r="I5" s="6" t="s">
        <v>212</v>
      </c>
      <c r="J5" s="6" t="s">
        <v>224</v>
      </c>
      <c r="K5" s="6"/>
      <c r="L5" s="6"/>
      <c r="M5" s="6"/>
      <c r="N5" s="6"/>
      <c r="O5" s="6"/>
      <c r="P5" s="6"/>
      <c r="Q5" s="6"/>
      <c r="R5" s="6"/>
      <c r="S5" s="6"/>
      <c r="T5" s="6"/>
    </row>
    <row r="6" spans="1:20" ht="18">
      <c r="B6" s="6" t="s">
        <v>61</v>
      </c>
      <c r="C6" s="6" t="s">
        <v>83</v>
      </c>
      <c r="D6" s="6"/>
      <c r="E6" s="6" t="s">
        <v>100</v>
      </c>
      <c r="F6" s="6" t="s">
        <v>103</v>
      </c>
      <c r="G6" s="6" t="s">
        <v>60</v>
      </c>
      <c r="H6" s="37" t="str">
        <f>'5'!G3</f>
        <v>{ paddingTop: "315"}</v>
      </c>
      <c r="I6" s="6" t="s">
        <v>212</v>
      </c>
      <c r="J6" s="6" t="s">
        <v>224</v>
      </c>
      <c r="K6" s="6"/>
      <c r="L6" s="6"/>
      <c r="M6" s="6"/>
      <c r="N6" s="6"/>
      <c r="O6" s="6"/>
    </row>
    <row r="7" spans="1:20" ht="18">
      <c r="B7" s="6" t="s">
        <v>62</v>
      </c>
      <c r="C7" s="6" t="s">
        <v>83</v>
      </c>
      <c r="D7" s="6"/>
      <c r="E7" s="6" t="s">
        <v>98</v>
      </c>
      <c r="F7" s="6" t="s">
        <v>103</v>
      </c>
      <c r="G7" s="6" t="s">
        <v>60</v>
      </c>
      <c r="H7" s="37" t="str">
        <f>'5'!G4</f>
        <v>{ paddingTop: "495"}</v>
      </c>
      <c r="I7" s="6" t="s">
        <v>212</v>
      </c>
      <c r="J7" s="6" t="s">
        <v>224</v>
      </c>
      <c r="K7" s="6"/>
      <c r="L7" s="6"/>
      <c r="M7" s="6"/>
      <c r="N7" s="6"/>
      <c r="O7" s="6"/>
    </row>
    <row r="8" spans="1:20" ht="18">
      <c r="B8" s="6" t="s">
        <v>75</v>
      </c>
      <c r="C8" s="6" t="s">
        <v>83</v>
      </c>
      <c r="D8" s="6"/>
      <c r="E8" s="6" t="s">
        <v>82</v>
      </c>
      <c r="F8" s="6" t="s">
        <v>103</v>
      </c>
      <c r="G8" s="6" t="s">
        <v>60</v>
      </c>
      <c r="H8" s="37" t="str">
        <f>'5'!G5</f>
        <v>{ paddingTop: "747.5"}</v>
      </c>
      <c r="I8" s="6" t="s">
        <v>212</v>
      </c>
      <c r="J8" s="6" t="s">
        <v>224</v>
      </c>
      <c r="K8" s="6"/>
      <c r="L8" s="6"/>
      <c r="M8" s="6"/>
      <c r="N8" s="6"/>
      <c r="O8" s="6"/>
    </row>
    <row r="9" spans="1:20" ht="18">
      <c r="B9" s="6" t="s">
        <v>76</v>
      </c>
      <c r="C9" s="6" t="s">
        <v>83</v>
      </c>
      <c r="D9" s="6"/>
      <c r="E9" s="6" t="s">
        <v>101</v>
      </c>
      <c r="F9" s="6" t="s">
        <v>103</v>
      </c>
      <c r="G9" s="6" t="s">
        <v>60</v>
      </c>
      <c r="H9" s="37" t="str">
        <f>'5'!G6</f>
        <v>{ paddingTop: "1080"}</v>
      </c>
      <c r="I9" s="6" t="s">
        <v>212</v>
      </c>
      <c r="J9" s="6" t="s">
        <v>224</v>
      </c>
      <c r="K9" s="6"/>
      <c r="L9" s="6"/>
      <c r="M9" s="6"/>
      <c r="N9" s="6"/>
      <c r="O9" s="6"/>
    </row>
    <row r="10" spans="1:20" ht="18">
      <c r="B10" s="6" t="s">
        <v>77</v>
      </c>
      <c r="C10" s="6" t="s">
        <v>83</v>
      </c>
      <c r="D10" s="6"/>
      <c r="E10" s="6" t="s">
        <v>102</v>
      </c>
      <c r="F10" s="6" t="s">
        <v>103</v>
      </c>
      <c r="G10" s="6" t="s">
        <v>60</v>
      </c>
      <c r="H10" s="37" t="str">
        <f>'5'!G7</f>
        <v>{ paddingTop: "1500"}</v>
      </c>
      <c r="I10" s="6" t="s">
        <v>212</v>
      </c>
      <c r="J10" s="6" t="s">
        <v>224</v>
      </c>
      <c r="K10" s="6"/>
      <c r="L10" s="6"/>
      <c r="M10" s="6"/>
      <c r="N10" s="6"/>
      <c r="O10" s="6"/>
    </row>
    <row r="11" spans="1:20" ht="108">
      <c r="B11" s="6" t="s">
        <v>78</v>
      </c>
      <c r="C11" s="6" t="s">
        <v>83</v>
      </c>
      <c r="D11" s="6"/>
      <c r="E11" s="20" t="s">
        <v>89</v>
      </c>
      <c r="F11" s="6" t="s">
        <v>103</v>
      </c>
      <c r="G11" s="6" t="s">
        <v>60</v>
      </c>
      <c r="H11" s="6" t="s">
        <v>86</v>
      </c>
      <c r="I11" s="6" t="s">
        <v>212</v>
      </c>
      <c r="J11" s="6" t="s">
        <v>224</v>
      </c>
      <c r="K11" s="6"/>
      <c r="L11" s="6"/>
      <c r="M11" s="6"/>
      <c r="N11" s="6"/>
      <c r="O11" s="6"/>
    </row>
    <row r="12" spans="1:20" ht="18">
      <c r="B12" s="6" t="s">
        <v>79</v>
      </c>
      <c r="C12" s="6" t="s">
        <v>83</v>
      </c>
      <c r="D12" s="6"/>
      <c r="E12" s="6" t="s">
        <v>82</v>
      </c>
      <c r="F12" s="6" t="s">
        <v>103</v>
      </c>
      <c r="G12" s="6" t="s">
        <v>60</v>
      </c>
      <c r="H12" s="6" t="s">
        <v>85</v>
      </c>
      <c r="I12" s="6"/>
      <c r="J12" s="21"/>
      <c r="K12" s="6"/>
      <c r="L12" s="6"/>
      <c r="M12" s="6"/>
      <c r="N12" s="6"/>
      <c r="O12" s="6"/>
    </row>
    <row r="17" spans="2:11" ht="18">
      <c r="B17" s="3" t="s">
        <v>91</v>
      </c>
      <c r="C17" s="6" t="s">
        <v>294</v>
      </c>
      <c r="D17" s="22" t="s">
        <v>94</v>
      </c>
      <c r="E17" s="6" t="s">
        <v>293</v>
      </c>
      <c r="G17" s="23"/>
    </row>
    <row r="18" spans="2:11" ht="18">
      <c r="B18" s="3" t="s">
        <v>92</v>
      </c>
      <c r="C18" s="22" t="s">
        <v>295</v>
      </c>
      <c r="D18" s="22" t="s">
        <v>93</v>
      </c>
      <c r="E18" s="6"/>
      <c r="G18" s="6"/>
    </row>
    <row r="19" spans="2:11" ht="18">
      <c r="B19" s="3" t="s">
        <v>96</v>
      </c>
      <c r="C19" s="6" t="s">
        <v>97</v>
      </c>
      <c r="D19" s="6" t="s">
        <v>108</v>
      </c>
      <c r="E19" s="6" t="s">
        <v>118</v>
      </c>
      <c r="F19" s="22" t="s">
        <v>107</v>
      </c>
      <c r="G19" s="6"/>
    </row>
    <row r="20" spans="2:11" ht="18">
      <c r="C20" s="31"/>
      <c r="D20" s="31"/>
      <c r="E20" s="31"/>
      <c r="F20" s="32"/>
      <c r="G20" s="31"/>
    </row>
    <row r="21" spans="2:11" ht="18">
      <c r="B21" s="3" t="s">
        <v>112</v>
      </c>
      <c r="C21" s="6" t="s">
        <v>95</v>
      </c>
      <c r="D21" s="6" t="s">
        <v>116</v>
      </c>
      <c r="E21" s="22" t="s">
        <v>94</v>
      </c>
      <c r="F21" s="6" t="s">
        <v>59</v>
      </c>
      <c r="G21" s="6"/>
      <c r="H21" s="3" t="s">
        <v>60</v>
      </c>
    </row>
    <row r="22" spans="2:11" ht="28.8">
      <c r="B22" s="3" t="s">
        <v>113</v>
      </c>
      <c r="C22" s="6" t="s">
        <v>215</v>
      </c>
      <c r="D22" s="6" t="s">
        <v>115</v>
      </c>
      <c r="E22" s="22" t="s">
        <v>94</v>
      </c>
      <c r="F22" s="6" t="s">
        <v>59</v>
      </c>
      <c r="G22" s="6"/>
      <c r="H22" s="3" t="s">
        <v>60</v>
      </c>
      <c r="I22" s="6" t="s">
        <v>118</v>
      </c>
      <c r="J22" s="22" t="s">
        <v>216</v>
      </c>
      <c r="K22" s="40" t="s">
        <v>214</v>
      </c>
    </row>
    <row r="23" spans="2:11" ht="18">
      <c r="B23" s="3" t="s">
        <v>114</v>
      </c>
      <c r="C23" s="6" t="s">
        <v>217</v>
      </c>
      <c r="D23" s="6" t="s">
        <v>117</v>
      </c>
      <c r="E23" s="22" t="s">
        <v>94</v>
      </c>
      <c r="F23" s="6" t="s">
        <v>59</v>
      </c>
      <c r="G23" s="6"/>
      <c r="H23" s="3" t="s">
        <v>60</v>
      </c>
    </row>
    <row r="24" spans="2:11" ht="18">
      <c r="B24" s="3" t="s">
        <v>90</v>
      </c>
      <c r="C24" s="6" t="s">
        <v>207</v>
      </c>
      <c r="D24" s="22" t="s">
        <v>206</v>
      </c>
      <c r="E24" s="6" t="s">
        <v>118</v>
      </c>
    </row>
    <row r="25" spans="2:11" ht="18">
      <c r="B25" s="3" t="s">
        <v>213</v>
      </c>
      <c r="C25" s="6" t="s">
        <v>218</v>
      </c>
      <c r="D25" s="6" t="s">
        <v>117</v>
      </c>
      <c r="E25" s="22" t="s">
        <v>94</v>
      </c>
      <c r="F25" s="6" t="s">
        <v>59</v>
      </c>
      <c r="G25" s="6"/>
      <c r="H25" s="3" t="s">
        <v>60</v>
      </c>
      <c r="I25" s="6"/>
      <c r="J25" s="22"/>
    </row>
    <row r="26" spans="2:11" ht="108">
      <c r="B26" s="77" t="s">
        <v>264</v>
      </c>
      <c r="C26" s="20" t="s">
        <v>595</v>
      </c>
      <c r="D26" s="6"/>
      <c r="E26" s="22"/>
      <c r="F26" s="6"/>
      <c r="G26" s="22"/>
      <c r="I26" s="40"/>
      <c r="K26" s="60"/>
    </row>
    <row r="27" spans="2:11" ht="18">
      <c r="B27" s="77" t="s">
        <v>599</v>
      </c>
      <c r="C27" s="20" t="s">
        <v>603</v>
      </c>
      <c r="D27" s="6" t="s">
        <v>596</v>
      </c>
      <c r="E27" s="22" t="s">
        <v>597</v>
      </c>
      <c r="F27" s="6" t="s">
        <v>598</v>
      </c>
      <c r="G27" s="22"/>
      <c r="I27" s="40"/>
      <c r="K27" s="60"/>
    </row>
    <row r="28" spans="2:11" ht="28.8">
      <c r="B28" s="77" t="s">
        <v>602</v>
      </c>
      <c r="C28" s="20" t="s">
        <v>603</v>
      </c>
      <c r="D28" s="6" t="s">
        <v>596</v>
      </c>
      <c r="E28" s="22" t="s">
        <v>597</v>
      </c>
      <c r="F28" s="6"/>
      <c r="G28" s="22"/>
      <c r="H28" s="40" t="s">
        <v>214</v>
      </c>
      <c r="I28" s="40"/>
      <c r="K28" s="60"/>
    </row>
    <row r="29" spans="2:11" ht="90">
      <c r="B29" s="5" t="s">
        <v>267</v>
      </c>
      <c r="C29" s="6" t="s">
        <v>286</v>
      </c>
      <c r="D29" s="20" t="s">
        <v>287</v>
      </c>
      <c r="E29" s="22" t="s">
        <v>206</v>
      </c>
      <c r="F29" s="20" t="s">
        <v>59</v>
      </c>
      <c r="G29" s="22" t="s">
        <v>265</v>
      </c>
      <c r="H29" s="40" t="s">
        <v>214</v>
      </c>
      <c r="I29" s="40" t="s">
        <v>268</v>
      </c>
      <c r="J29" s="3" t="s">
        <v>296</v>
      </c>
    </row>
    <row r="30" spans="2:11" ht="18">
      <c r="B30" s="5" t="s">
        <v>304</v>
      </c>
      <c r="C30" s="6" t="s">
        <v>305</v>
      </c>
      <c r="I30" s="4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04E7-91C9-43CB-B640-AA2EFDB49B4A}">
  <dimension ref="A1:Z63"/>
  <sheetViews>
    <sheetView tabSelected="1" topLeftCell="D1" workbookViewId="0">
      <selection activeCell="F13" sqref="F13"/>
    </sheetView>
  </sheetViews>
  <sheetFormatPr defaultColWidth="21.33203125" defaultRowHeight="14.4"/>
  <cols>
    <col min="1" max="1" width="6" style="5" customWidth="1"/>
    <col min="2" max="2" width="19.5546875" style="5" bestFit="1" customWidth="1"/>
    <col min="3" max="3" width="10" style="5" customWidth="1"/>
    <col min="4" max="4" width="14.88671875" style="5" bestFit="1" customWidth="1"/>
    <col min="5" max="5" width="32.88671875" style="5" bestFit="1" customWidth="1"/>
    <col min="6" max="6" width="32.88671875" style="5" customWidth="1"/>
    <col min="7" max="7" width="8.5546875" style="5" bestFit="1" customWidth="1"/>
    <col min="8" max="8" width="32.5546875" style="5" bestFit="1" customWidth="1"/>
    <col min="9" max="9" width="18.33203125" style="5" bestFit="1" customWidth="1"/>
    <col min="10" max="10" width="24.88671875" style="5" bestFit="1" customWidth="1"/>
    <col min="11" max="11" width="18.5546875" style="5" bestFit="1" customWidth="1"/>
    <col min="12" max="12" width="22" style="5" bestFit="1" customWidth="1"/>
    <col min="13" max="13" width="18" style="5" customWidth="1"/>
    <col min="14" max="14" width="24.21875" style="5" customWidth="1"/>
    <col min="15" max="16384" width="21.33203125" style="5"/>
  </cols>
  <sheetData>
    <row r="1" spans="1:26">
      <c r="B1" s="5" t="s">
        <v>0</v>
      </c>
      <c r="C1" s="5" t="s">
        <v>63</v>
      </c>
      <c r="D1" s="5" t="s">
        <v>64</v>
      </c>
      <c r="E1" s="5" t="s">
        <v>65</v>
      </c>
      <c r="G1" s="5" t="s">
        <v>66</v>
      </c>
      <c r="H1" s="5" t="s">
        <v>27</v>
      </c>
      <c r="I1" s="5" t="s">
        <v>67</v>
      </c>
      <c r="J1" s="5" t="s">
        <v>28</v>
      </c>
      <c r="K1" s="5" t="s">
        <v>68</v>
      </c>
      <c r="L1" s="5" t="s">
        <v>29</v>
      </c>
      <c r="M1" s="5" t="s">
        <v>69</v>
      </c>
      <c r="N1" s="5" t="s">
        <v>30</v>
      </c>
      <c r="O1" s="5" t="s">
        <v>74</v>
      </c>
      <c r="P1" s="5" t="s">
        <v>31</v>
      </c>
      <c r="Q1" s="5" t="s">
        <v>119</v>
      </c>
      <c r="R1" s="5" t="s">
        <v>32</v>
      </c>
      <c r="S1" s="5" t="s">
        <v>122</v>
      </c>
      <c r="T1" s="5" t="s">
        <v>123</v>
      </c>
      <c r="U1" s="5" t="s">
        <v>124</v>
      </c>
      <c r="V1" s="5" t="s">
        <v>125</v>
      </c>
      <c r="W1" s="5" t="s">
        <v>208</v>
      </c>
      <c r="X1" s="5" t="s">
        <v>209</v>
      </c>
      <c r="Y1" s="5" t="s">
        <v>210</v>
      </c>
      <c r="Z1" s="5" t="s">
        <v>211</v>
      </c>
    </row>
    <row r="2" spans="1:26" ht="18">
      <c r="B2" s="5" t="s">
        <v>260</v>
      </c>
      <c r="C2" s="5">
        <v>1</v>
      </c>
      <c r="D2" s="5">
        <v>1</v>
      </c>
      <c r="E2" s="5" t="s">
        <v>262</v>
      </c>
      <c r="G2" s="5" t="s">
        <v>71</v>
      </c>
      <c r="H2" s="5" t="s">
        <v>244</v>
      </c>
      <c r="I2" s="5" t="s">
        <v>257</v>
      </c>
      <c r="J2" s="51"/>
      <c r="K2" s="5" t="s">
        <v>263</v>
      </c>
      <c r="L2" s="5" t="b">
        <v>1</v>
      </c>
      <c r="M2" s="18" t="s">
        <v>231</v>
      </c>
      <c r="N2" s="5">
        <v>0.1</v>
      </c>
      <c r="O2" s="38"/>
      <c r="P2" s="38"/>
      <c r="Q2" s="38"/>
      <c r="R2" s="38"/>
      <c r="S2" s="38"/>
      <c r="T2" s="38"/>
      <c r="U2" s="5" t="s">
        <v>245</v>
      </c>
      <c r="V2" s="5" t="s">
        <v>594</v>
      </c>
    </row>
    <row r="3" spans="1:26" ht="18">
      <c r="B3" s="5" t="s">
        <v>260</v>
      </c>
      <c r="C3" s="5">
        <v>1</v>
      </c>
      <c r="D3" s="5">
        <v>1</v>
      </c>
      <c r="E3" s="5" t="s">
        <v>593</v>
      </c>
      <c r="G3" s="5" t="s">
        <v>71</v>
      </c>
      <c r="H3" s="5" t="s">
        <v>244</v>
      </c>
      <c r="I3" s="5" t="s">
        <v>257</v>
      </c>
      <c r="J3" s="51" t="s">
        <v>261</v>
      </c>
      <c r="K3" s="5" t="s">
        <v>263</v>
      </c>
      <c r="L3" s="5" t="b">
        <v>1</v>
      </c>
      <c r="M3" s="18" t="s">
        <v>231</v>
      </c>
      <c r="N3" s="5">
        <v>0.1</v>
      </c>
      <c r="O3" s="38"/>
      <c r="P3" s="38"/>
      <c r="Q3" s="38"/>
      <c r="R3" s="38"/>
      <c r="S3" s="38"/>
      <c r="T3" s="38"/>
      <c r="U3" s="5" t="s">
        <v>249</v>
      </c>
      <c r="V3" s="5" t="s">
        <v>594</v>
      </c>
    </row>
    <row r="4" spans="1:26" ht="18">
      <c r="B4" s="5" t="s">
        <v>260</v>
      </c>
      <c r="C4" s="5">
        <v>1</v>
      </c>
      <c r="D4" s="5">
        <v>1</v>
      </c>
      <c r="E4" s="5" t="s">
        <v>600</v>
      </c>
      <c r="G4" s="5" t="s">
        <v>71</v>
      </c>
      <c r="H4" s="5" t="s">
        <v>244</v>
      </c>
      <c r="I4" s="5" t="s">
        <v>257</v>
      </c>
      <c r="J4" s="51" t="s">
        <v>601</v>
      </c>
      <c r="K4" s="5" t="s">
        <v>263</v>
      </c>
      <c r="L4" s="5" t="b">
        <v>1</v>
      </c>
      <c r="M4" s="18" t="s">
        <v>231</v>
      </c>
      <c r="N4" s="5">
        <v>0.1</v>
      </c>
      <c r="O4" s="38"/>
      <c r="P4" s="38"/>
      <c r="Q4" s="38"/>
      <c r="R4" s="38"/>
      <c r="S4" s="38"/>
      <c r="T4" s="38"/>
      <c r="U4" s="5" t="s">
        <v>249</v>
      </c>
      <c r="V4" s="5" t="s">
        <v>594</v>
      </c>
    </row>
    <row r="5" spans="1:26" ht="18">
      <c r="B5" s="5" t="s">
        <v>260</v>
      </c>
      <c r="C5" s="5">
        <v>2</v>
      </c>
      <c r="D5" s="5">
        <v>1</v>
      </c>
      <c r="E5" s="5" t="s">
        <v>302</v>
      </c>
      <c r="G5" s="5" t="s">
        <v>71</v>
      </c>
      <c r="H5" s="5" t="s">
        <v>244</v>
      </c>
      <c r="I5" s="57"/>
      <c r="J5" s="51" t="s">
        <v>303</v>
      </c>
      <c r="K5" s="5" t="s">
        <v>263</v>
      </c>
      <c r="L5" s="5" t="b">
        <v>1</v>
      </c>
      <c r="M5" s="18"/>
    </row>
    <row r="6" spans="1:26" ht="18">
      <c r="B6" s="5" t="s">
        <v>260</v>
      </c>
      <c r="C6" s="5">
        <v>3</v>
      </c>
      <c r="D6" s="5">
        <v>1</v>
      </c>
      <c r="E6" s="3" t="s">
        <v>289</v>
      </c>
      <c r="G6" s="5" t="s">
        <v>71</v>
      </c>
      <c r="H6" s="5" t="s">
        <v>244</v>
      </c>
      <c r="I6" s="57" t="s">
        <v>245</v>
      </c>
      <c r="J6" s="51" t="s">
        <v>291</v>
      </c>
      <c r="K6" s="5" t="s">
        <v>263</v>
      </c>
      <c r="L6" s="5" t="b">
        <v>1</v>
      </c>
      <c r="M6" s="18"/>
    </row>
    <row r="7" spans="1:26" ht="18">
      <c r="B7" s="5" t="s">
        <v>260</v>
      </c>
      <c r="C7" s="5">
        <v>4</v>
      </c>
      <c r="D7" s="5">
        <v>1</v>
      </c>
      <c r="E7" s="3" t="s">
        <v>290</v>
      </c>
      <c r="G7" s="5" t="s">
        <v>71</v>
      </c>
      <c r="H7" s="5" t="s">
        <v>248</v>
      </c>
      <c r="I7" s="5" t="s">
        <v>249</v>
      </c>
      <c r="J7" s="51" t="s">
        <v>291</v>
      </c>
      <c r="K7" s="58" t="s">
        <v>250</v>
      </c>
      <c r="L7" t="s">
        <v>292</v>
      </c>
      <c r="M7" s="5" t="s">
        <v>263</v>
      </c>
      <c r="N7" s="5" t="b">
        <v>1</v>
      </c>
    </row>
    <row r="8" spans="1:26" ht="18">
      <c r="B8" s="5" t="s">
        <v>260</v>
      </c>
      <c r="C8" s="5">
        <v>5</v>
      </c>
      <c r="D8" s="5">
        <v>1</v>
      </c>
      <c r="E8" s="5" t="s">
        <v>266</v>
      </c>
      <c r="G8" s="5" t="s">
        <v>71</v>
      </c>
      <c r="H8" s="5" t="s">
        <v>244</v>
      </c>
      <c r="I8" s="51" t="s">
        <v>257</v>
      </c>
      <c r="J8" t="s">
        <v>288</v>
      </c>
      <c r="K8" s="5" t="s">
        <v>263</v>
      </c>
      <c r="L8" s="5" t="b">
        <v>1</v>
      </c>
    </row>
    <row r="9" spans="1:26" ht="18">
      <c r="B9" s="5" t="s">
        <v>260</v>
      </c>
      <c r="C9" s="5">
        <v>6</v>
      </c>
      <c r="D9" s="5">
        <v>1</v>
      </c>
      <c r="E9" s="5" t="s">
        <v>299</v>
      </c>
      <c r="G9" s="5" t="s">
        <v>71</v>
      </c>
      <c r="H9" s="51" t="s">
        <v>297</v>
      </c>
      <c r="I9" s="18" t="s">
        <v>298</v>
      </c>
      <c r="J9" t="s">
        <v>300</v>
      </c>
      <c r="K9" s="58" t="s">
        <v>230</v>
      </c>
      <c r="L9">
        <v>0.2</v>
      </c>
      <c r="M9" s="5" t="s">
        <v>263</v>
      </c>
      <c r="N9" s="5" t="b">
        <v>1</v>
      </c>
      <c r="O9" s="5" t="s">
        <v>301</v>
      </c>
      <c r="P9" s="5" t="s">
        <v>510</v>
      </c>
    </row>
    <row r="10" spans="1:26" ht="18">
      <c r="H10" s="51"/>
      <c r="I10" s="59"/>
      <c r="J10"/>
      <c r="K10"/>
      <c r="L10"/>
      <c r="M10" s="18"/>
    </row>
    <row r="11" spans="1:26" ht="18">
      <c r="B11" s="5" t="s">
        <v>109</v>
      </c>
      <c r="C11" s="5">
        <v>1</v>
      </c>
      <c r="D11" s="5">
        <v>1</v>
      </c>
      <c r="E11" s="5" t="s">
        <v>70</v>
      </c>
      <c r="F11" s="5" t="str">
        <f>_xlfn.CONCAT(E11,"-css")</f>
        <v>DIVA001-css</v>
      </c>
      <c r="G11" s="5" t="s">
        <v>71</v>
      </c>
      <c r="H11" s="51" t="s">
        <v>225</v>
      </c>
      <c r="I11" s="51" t="s">
        <v>226</v>
      </c>
      <c r="J11" s="51" t="s">
        <v>235</v>
      </c>
      <c r="K11" s="51" t="s">
        <v>227</v>
      </c>
      <c r="L11" s="5" t="s">
        <v>510</v>
      </c>
      <c r="M11" s="18" t="s">
        <v>231</v>
      </c>
      <c r="N11" s="5" t="s">
        <v>236</v>
      </c>
      <c r="O11" s="18" t="s">
        <v>229</v>
      </c>
      <c r="P11" s="5" t="s">
        <v>283</v>
      </c>
      <c r="Q11" s="18" t="s">
        <v>230</v>
      </c>
      <c r="R11" s="5" t="s">
        <v>252</v>
      </c>
      <c r="S11" s="5" t="s">
        <v>238</v>
      </c>
      <c r="T11" s="5" t="s">
        <v>240</v>
      </c>
      <c r="U11" s="18" t="s">
        <v>239</v>
      </c>
      <c r="V11" s="5">
        <v>15</v>
      </c>
    </row>
    <row r="12" spans="1:26" ht="15.6">
      <c r="O12" s="18"/>
      <c r="Q12" s="18"/>
      <c r="U12" s="18"/>
    </row>
    <row r="13" spans="1:26" ht="18">
      <c r="I13" s="51"/>
      <c r="J13"/>
      <c r="K13"/>
      <c r="L13"/>
      <c r="M13" s="18"/>
      <c r="O13" s="18"/>
      <c r="Q13" s="18"/>
      <c r="U13" s="18"/>
    </row>
    <row r="14" spans="1:26" ht="18">
      <c r="I14" s="51"/>
      <c r="J14"/>
      <c r="K14"/>
      <c r="L14"/>
      <c r="M14" s="18"/>
      <c r="O14" s="18"/>
      <c r="Q14" s="18"/>
      <c r="U14" s="18"/>
    </row>
    <row r="15" spans="1:26" ht="18">
      <c r="I15" s="51"/>
      <c r="J15"/>
      <c r="K15" s="51"/>
      <c r="L15" s="51"/>
      <c r="M15" s="18"/>
      <c r="O15" s="18"/>
      <c r="Q15" s="18"/>
      <c r="U15" s="18"/>
    </row>
    <row r="16" spans="1:26" s="26" customFormat="1" ht="15.6">
      <c r="A16" s="24"/>
      <c r="B16" s="5" t="s">
        <v>242</v>
      </c>
      <c r="C16" s="5">
        <v>1</v>
      </c>
      <c r="D16" s="5">
        <v>1</v>
      </c>
      <c r="E16" s="5" t="s">
        <v>70</v>
      </c>
      <c r="F16" s="5" t="str">
        <f>_xlfn.CONCAT(E16,"-css")</f>
        <v>DIVA001-css</v>
      </c>
      <c r="G16" s="5" t="s">
        <v>71</v>
      </c>
      <c r="H16" s="5" t="s">
        <v>244</v>
      </c>
      <c r="I16" s="5" t="s">
        <v>245</v>
      </c>
      <c r="J16" s="5" t="s">
        <v>246</v>
      </c>
      <c r="K16" s="5"/>
      <c r="L16" s="5"/>
      <c r="M16" s="18" t="s">
        <v>231</v>
      </c>
      <c r="N16" s="5" t="s">
        <v>236</v>
      </c>
      <c r="O16" s="5"/>
      <c r="P16" s="5"/>
      <c r="U16" s="18" t="s">
        <v>239</v>
      </c>
      <c r="V16" s="5">
        <v>15</v>
      </c>
    </row>
    <row r="17" spans="2:26">
      <c r="B17" s="5" t="s">
        <v>242</v>
      </c>
      <c r="C17" s="5">
        <v>2</v>
      </c>
      <c r="D17" s="5">
        <v>1</v>
      </c>
      <c r="E17" s="5" t="s">
        <v>247</v>
      </c>
      <c r="F17" s="5" t="str">
        <f t="shared" ref="F17" si="0">_xlfn.CONCAT(E17,"-css")</f>
        <v>DIVA002-css</v>
      </c>
      <c r="G17" s="5" t="s">
        <v>71</v>
      </c>
      <c r="H17" s="5" t="s">
        <v>248</v>
      </c>
      <c r="I17" s="5" t="s">
        <v>249</v>
      </c>
      <c r="J17" s="5" t="s">
        <v>246</v>
      </c>
      <c r="K17" s="5" t="s">
        <v>250</v>
      </c>
      <c r="L17" s="5" t="s">
        <v>251</v>
      </c>
      <c r="M17" s="5" t="s">
        <v>253</v>
      </c>
      <c r="N17" s="5" t="s">
        <v>254</v>
      </c>
      <c r="O17" s="5" t="s">
        <v>255</v>
      </c>
      <c r="P17" s="5">
        <v>150</v>
      </c>
      <c r="Q17" s="5" t="s">
        <v>256</v>
      </c>
      <c r="R17" s="5" t="b">
        <v>1</v>
      </c>
    </row>
    <row r="18" spans="2:26" ht="18">
      <c r="I18" s="51"/>
      <c r="J18"/>
      <c r="Q18" s="38"/>
      <c r="R18" s="39"/>
      <c r="S18" s="38"/>
      <c r="T18" s="38"/>
      <c r="U18" s="38"/>
      <c r="V18" s="38"/>
    </row>
    <row r="19" spans="2:26">
      <c r="Q19" s="38"/>
      <c r="R19" s="39"/>
      <c r="S19" s="38"/>
      <c r="T19" s="38"/>
      <c r="U19" s="38"/>
      <c r="V19" s="38"/>
    </row>
    <row r="20" spans="2:26">
      <c r="Q20" s="38"/>
      <c r="R20" s="38"/>
      <c r="S20" s="38"/>
      <c r="T20" s="38"/>
      <c r="U20" s="38"/>
      <c r="V20" s="38"/>
    </row>
    <row r="21" spans="2:26" ht="15" thickBot="1">
      <c r="M21" s="8"/>
      <c r="Q21" s="38"/>
      <c r="R21" s="39"/>
      <c r="S21" s="38"/>
      <c r="T21" s="38"/>
      <c r="U21" s="38"/>
      <c r="V21" s="38"/>
    </row>
    <row r="22" spans="2:26" ht="16.2" thickBot="1">
      <c r="B22" s="2"/>
      <c r="F22" s="7"/>
      <c r="I22" s="26"/>
      <c r="J22" s="29"/>
      <c r="M22" s="52"/>
      <c r="N22"/>
      <c r="O22" s="18"/>
      <c r="P22" s="12"/>
    </row>
    <row r="23" spans="2:26" s="28" customFormat="1" ht="15">
      <c r="B23" s="25"/>
      <c r="C23" s="5"/>
      <c r="E23" s="27"/>
      <c r="F23" s="27"/>
      <c r="G23" s="26"/>
      <c r="H23" s="26"/>
      <c r="I23" s="26"/>
      <c r="M23" s="52"/>
      <c r="U23" s="38"/>
      <c r="V23" s="39"/>
      <c r="W23" s="38"/>
      <c r="X23" s="38"/>
      <c r="Y23" s="38"/>
      <c r="Z23" s="38"/>
    </row>
    <row r="24" spans="2:26">
      <c r="B24" s="8"/>
      <c r="C24" s="8"/>
      <c r="D24" s="8"/>
      <c r="E24" s="8"/>
      <c r="F24" s="8"/>
      <c r="G24" s="8"/>
      <c r="H24" s="8"/>
      <c r="I24" s="8"/>
      <c r="J24" s="8"/>
      <c r="K24" s="28"/>
      <c r="L24" s="28"/>
      <c r="M24" s="52"/>
      <c r="N24" s="8"/>
      <c r="O24" s="8"/>
      <c r="P24" s="8"/>
      <c r="Q24" s="8"/>
      <c r="R24" s="8"/>
      <c r="S24" s="28"/>
      <c r="T24" s="28"/>
      <c r="U24" s="38"/>
      <c r="V24" s="39"/>
      <c r="W24" s="38"/>
      <c r="X24" s="38"/>
      <c r="Y24" s="38"/>
      <c r="Z24" s="38"/>
    </row>
    <row r="25" spans="2:26">
      <c r="B25" s="8"/>
      <c r="C25" s="8"/>
      <c r="D25" s="8"/>
      <c r="E25" s="8"/>
      <c r="F25" s="8"/>
      <c r="G25" s="8"/>
      <c r="H25" s="8"/>
      <c r="I25" s="8"/>
      <c r="J25" s="8"/>
      <c r="K25" s="28"/>
      <c r="L25" s="28"/>
      <c r="M25" s="8"/>
      <c r="N25" s="8"/>
      <c r="O25" s="8"/>
      <c r="P25" s="8"/>
      <c r="Q25" s="8"/>
      <c r="R25" s="8"/>
      <c r="S25" s="28"/>
      <c r="T25" s="28"/>
      <c r="U25" s="38"/>
      <c r="V25" s="39"/>
      <c r="W25" s="38"/>
      <c r="X25" s="38"/>
      <c r="Y25" s="38"/>
      <c r="Z25" s="38"/>
    </row>
    <row r="26" spans="2:26">
      <c r="B26" s="8"/>
      <c r="C26" s="8"/>
      <c r="D26" s="8"/>
      <c r="E26" s="8"/>
      <c r="F26" s="8"/>
      <c r="G26" s="8"/>
      <c r="H26" s="8"/>
      <c r="I26" s="8"/>
      <c r="J26" s="8"/>
      <c r="K26" s="28"/>
      <c r="L26" s="28"/>
      <c r="M26" s="8"/>
      <c r="N26" s="8"/>
      <c r="O26" s="8"/>
      <c r="P26" s="8"/>
      <c r="Q26" s="8"/>
      <c r="R26" s="8"/>
      <c r="S26" s="28"/>
      <c r="T26" s="28"/>
      <c r="U26" s="38"/>
      <c r="V26" s="39"/>
      <c r="W26" s="38"/>
      <c r="X26" s="38"/>
      <c r="Y26" s="38"/>
      <c r="Z26" s="38"/>
    </row>
    <row r="27" spans="2:26">
      <c r="B27" s="8"/>
      <c r="C27" s="8"/>
      <c r="D27" s="8"/>
      <c r="E27" s="8"/>
      <c r="F27" s="8"/>
      <c r="G27" s="8"/>
      <c r="H27" s="8"/>
      <c r="I27" s="8"/>
      <c r="J27" s="8"/>
      <c r="K27" s="28"/>
      <c r="L27" s="28"/>
      <c r="M27" s="8"/>
      <c r="O27" s="8"/>
      <c r="P27" s="8"/>
      <c r="Q27" s="8"/>
      <c r="R27" s="8"/>
      <c r="S27" s="28"/>
      <c r="T27" s="28"/>
      <c r="U27" s="38"/>
      <c r="V27" s="38"/>
      <c r="W27" s="38"/>
      <c r="X27" s="38"/>
      <c r="Y27" s="38"/>
      <c r="Z27" s="38"/>
    </row>
    <row r="28" spans="2:26">
      <c r="B28" s="8"/>
      <c r="C28" s="8"/>
      <c r="D28" s="8"/>
      <c r="E28" s="8"/>
      <c r="F28" s="8"/>
      <c r="G28" s="8"/>
      <c r="H28" s="8"/>
      <c r="I28" s="8"/>
      <c r="J28" s="8"/>
      <c r="K28" s="28"/>
      <c r="L28" s="28"/>
      <c r="M28" s="8"/>
      <c r="N28" s="8"/>
      <c r="O28" s="8"/>
      <c r="P28" s="8"/>
      <c r="S28" s="28"/>
      <c r="T28" s="28"/>
      <c r="U28" s="38"/>
      <c r="V28" s="39"/>
      <c r="W28" s="38"/>
      <c r="X28" s="38"/>
      <c r="Y28" s="38"/>
      <c r="Z28" s="38"/>
    </row>
    <row r="29" spans="2:26">
      <c r="B29" s="8"/>
      <c r="C29" s="8"/>
      <c r="D29" s="8"/>
      <c r="E29" s="8"/>
      <c r="F29" s="8"/>
      <c r="G29" s="8"/>
      <c r="H29" s="8"/>
      <c r="I29" s="8"/>
      <c r="J29" s="8"/>
      <c r="K29" s="8"/>
      <c r="L29" s="8"/>
      <c r="M29" s="8"/>
      <c r="N29" s="8"/>
      <c r="O29" s="8"/>
      <c r="P29" s="8"/>
      <c r="Q29" s="8"/>
      <c r="R29" s="8"/>
    </row>
    <row r="30" spans="2:26">
      <c r="B30" s="8"/>
      <c r="C30" s="8"/>
      <c r="D30" s="8"/>
      <c r="E30" s="8"/>
      <c r="F30" s="8"/>
      <c r="G30" s="8"/>
      <c r="H30" s="8"/>
      <c r="I30" s="8"/>
      <c r="J30" s="8"/>
      <c r="K30" s="8"/>
      <c r="L30" s="8"/>
      <c r="M30" s="8"/>
      <c r="N30" s="8"/>
      <c r="O30" s="8"/>
      <c r="P30" s="8"/>
      <c r="Q30" s="8"/>
      <c r="R30" s="8"/>
    </row>
    <row r="31" spans="2:26">
      <c r="B31" s="8"/>
      <c r="C31" s="8"/>
      <c r="D31" s="8"/>
      <c r="E31" s="8"/>
      <c r="F31" s="8"/>
      <c r="G31" s="8"/>
      <c r="H31" s="8"/>
      <c r="I31" s="8"/>
      <c r="J31" s="8"/>
      <c r="K31" s="8"/>
      <c r="L31" s="8"/>
      <c r="M31" s="8"/>
      <c r="N31" s="8"/>
      <c r="O31" s="8"/>
      <c r="P31" s="8"/>
      <c r="Q31" s="8"/>
      <c r="R31" s="8"/>
    </row>
    <row r="32" spans="2:26" ht="15" thickBot="1">
      <c r="B32" s="8"/>
      <c r="C32" s="8"/>
      <c r="D32" s="8"/>
      <c r="E32" s="8"/>
      <c r="F32" s="8"/>
      <c r="G32" s="8"/>
      <c r="H32" s="8"/>
      <c r="I32" s="8"/>
      <c r="J32" s="8"/>
      <c r="K32" s="8"/>
      <c r="L32" s="8"/>
      <c r="M32" s="8"/>
      <c r="N32" s="8"/>
      <c r="O32" s="8"/>
      <c r="P32" s="8"/>
      <c r="Q32" s="8"/>
      <c r="R32" s="8"/>
    </row>
    <row r="33" spans="1:18" ht="15.6" thickBot="1">
      <c r="B33" s="2"/>
      <c r="E33" s="7"/>
      <c r="F33" s="7"/>
      <c r="G33" s="8"/>
      <c r="H33" s="8"/>
      <c r="I33" s="8"/>
      <c r="J33" s="30"/>
      <c r="N33" s="11"/>
    </row>
    <row r="34" spans="1:18" s="28" customFormat="1" ht="15">
      <c r="B34" s="25"/>
      <c r="C34" s="5"/>
      <c r="E34" s="3"/>
      <c r="F34" s="27"/>
      <c r="G34" s="26"/>
      <c r="H34" s="26"/>
    </row>
    <row r="35" spans="1:18" s="28" customFormat="1" ht="15">
      <c r="B35" s="25"/>
      <c r="C35" s="5"/>
      <c r="E35" s="3"/>
      <c r="F35" s="27"/>
      <c r="G35" s="26"/>
      <c r="H35" s="26"/>
    </row>
    <row r="36" spans="1:18" s="28" customFormat="1" ht="15">
      <c r="B36" s="25"/>
      <c r="C36" s="5"/>
      <c r="E36" s="3"/>
      <c r="F36" s="27"/>
      <c r="G36" s="26"/>
      <c r="H36" s="26"/>
    </row>
    <row r="37" spans="1:18" s="28" customFormat="1" ht="15">
      <c r="B37" s="25"/>
      <c r="C37" s="5"/>
      <c r="E37" s="3"/>
      <c r="F37" s="27"/>
      <c r="G37" s="26"/>
      <c r="H37" s="26"/>
    </row>
    <row r="38" spans="1:18" s="28" customFormat="1" ht="15">
      <c r="B38" s="25"/>
      <c r="C38" s="5"/>
      <c r="E38" s="27"/>
      <c r="F38" s="27"/>
      <c r="G38" s="26"/>
      <c r="H38" s="26"/>
    </row>
    <row r="39" spans="1:18" ht="15.6">
      <c r="B39" s="25"/>
      <c r="C39" s="8"/>
      <c r="D39" s="8"/>
      <c r="E39" s="3"/>
      <c r="F39" s="27"/>
      <c r="G39" s="26"/>
      <c r="H39" s="14"/>
      <c r="I39" s="26"/>
      <c r="J39" s="28"/>
      <c r="K39" s="28"/>
      <c r="L39" s="28"/>
      <c r="M39" s="18"/>
      <c r="N39" s="18"/>
      <c r="Q39" s="8"/>
      <c r="R39" s="8"/>
    </row>
    <row r="40" spans="1:18" ht="15" thickBot="1">
      <c r="E40" s="7"/>
      <c r="F40" s="7"/>
      <c r="G40" s="8"/>
      <c r="H40" s="8"/>
      <c r="N40"/>
    </row>
    <row r="41" spans="1:18" s="8" customFormat="1" ht="15.6" thickBot="1">
      <c r="A41" s="9"/>
      <c r="B41" s="5"/>
      <c r="D41" s="10"/>
      <c r="E41" s="7"/>
      <c r="F41" s="7"/>
      <c r="J41" s="5"/>
      <c r="L41" s="11"/>
      <c r="N41" s="12"/>
    </row>
    <row r="42" spans="1:18" ht="15.6" thickBot="1">
      <c r="E42" s="7"/>
      <c r="F42" s="7"/>
      <c r="G42" s="8"/>
      <c r="H42" s="8"/>
      <c r="I42" s="8"/>
      <c r="J42" s="13"/>
      <c r="N42"/>
    </row>
    <row r="43" spans="1:18" s="8" customFormat="1" ht="15.6" thickBot="1">
      <c r="A43" s="9"/>
      <c r="B43" s="5"/>
      <c r="C43" s="5"/>
      <c r="D43" s="5"/>
      <c r="E43" s="7"/>
      <c r="F43" s="7"/>
      <c r="J43" s="13"/>
      <c r="L43" s="11"/>
      <c r="N43" s="12"/>
    </row>
    <row r="44" spans="1:18" s="8" customFormat="1" ht="15.6" thickBot="1">
      <c r="B44" s="5"/>
      <c r="C44" s="5"/>
      <c r="D44" s="10"/>
      <c r="E44" s="7"/>
      <c r="F44" s="7"/>
      <c r="J44" s="5"/>
      <c r="L44" s="11"/>
    </row>
    <row r="45" spans="1:18">
      <c r="D45" s="10"/>
      <c r="E45" s="9"/>
      <c r="F45" s="7"/>
      <c r="G45" s="8"/>
      <c r="H45" s="8"/>
      <c r="I45" s="8"/>
      <c r="J45" s="8"/>
    </row>
    <row r="46" spans="1:18" ht="15.6">
      <c r="C46" s="8"/>
      <c r="E46" s="7"/>
      <c r="F46" s="7"/>
      <c r="H46" s="14"/>
      <c r="I46" s="15"/>
      <c r="J46" s="8"/>
      <c r="K46" s="15"/>
      <c r="L46" s="16"/>
    </row>
    <row r="52" spans="4:12" ht="18" customHeight="1"/>
    <row r="53" spans="4:12" ht="18" customHeight="1"/>
    <row r="54" spans="4:12" ht="18" customHeight="1">
      <c r="G54" s="8"/>
      <c r="H54" s="8"/>
    </row>
    <row r="55" spans="4:12" ht="18" customHeight="1">
      <c r="D55" s="10"/>
      <c r="E55" s="9"/>
      <c r="F55" s="9"/>
      <c r="G55" s="8"/>
      <c r="H55" s="8"/>
      <c r="I55" s="8"/>
      <c r="K55" s="8"/>
      <c r="L55" s="8"/>
    </row>
    <row r="56" spans="4:12" ht="18" customHeight="1">
      <c r="D56" s="10"/>
      <c r="E56" s="9"/>
      <c r="F56" s="9"/>
      <c r="G56" s="8"/>
      <c r="H56" s="8"/>
      <c r="I56" s="8"/>
      <c r="J56" s="8"/>
      <c r="K56" s="8"/>
      <c r="L56" s="8"/>
    </row>
    <row r="57" spans="4:12" ht="18" customHeight="1">
      <c r="D57" s="10"/>
      <c r="E57" s="9"/>
      <c r="F57" s="9"/>
      <c r="G57" s="8"/>
      <c r="H57" s="8"/>
      <c r="I57" s="8"/>
      <c r="J57" s="8"/>
      <c r="K57" s="8"/>
      <c r="L57" s="8"/>
    </row>
    <row r="58" spans="4:12" ht="18" customHeight="1">
      <c r="D58" s="10"/>
      <c r="E58" s="9"/>
      <c r="F58" s="9"/>
      <c r="G58" s="8"/>
      <c r="H58" s="8"/>
      <c r="I58" s="8"/>
      <c r="J58" s="8"/>
      <c r="K58" s="17"/>
      <c r="L58" s="8"/>
    </row>
    <row r="59" spans="4:12" ht="18" customHeight="1">
      <c r="D59" s="10"/>
      <c r="E59" s="9"/>
      <c r="F59" s="9"/>
      <c r="G59" s="8"/>
      <c r="H59" s="8"/>
      <c r="I59" s="8"/>
      <c r="J59" s="8"/>
      <c r="K59" s="17"/>
      <c r="L59" s="8"/>
    </row>
    <row r="60" spans="4:12" ht="18" customHeight="1">
      <c r="D60" s="10"/>
      <c r="E60" s="9"/>
      <c r="F60" s="9"/>
      <c r="G60" s="8"/>
      <c r="H60" s="8"/>
      <c r="I60" s="8"/>
      <c r="J60" s="8"/>
      <c r="K60" s="17"/>
      <c r="L60" s="8"/>
    </row>
    <row r="61" spans="4:12" ht="18" customHeight="1">
      <c r="D61" s="10"/>
      <c r="E61" s="9"/>
      <c r="F61" s="9"/>
      <c r="G61" s="8"/>
      <c r="H61" s="8"/>
      <c r="I61" s="8"/>
      <c r="J61" s="8"/>
      <c r="K61" s="8"/>
      <c r="L61" s="8"/>
    </row>
    <row r="62" spans="4:12" ht="18" customHeight="1">
      <c r="D62" s="10"/>
      <c r="E62" s="9"/>
      <c r="F62" s="9"/>
      <c r="G62" s="8"/>
      <c r="H62" s="8"/>
      <c r="I62" s="8"/>
      <c r="J62" s="8"/>
      <c r="K62" s="17"/>
      <c r="L62" s="8"/>
    </row>
    <row r="63" spans="4:12" ht="18" customHeight="1">
      <c r="H63" s="8"/>
      <c r="I63" s="8"/>
    </row>
  </sheetData>
  <phoneticPr fontId="3" type="noConversion"/>
  <conditionalFormatting sqref="I18">
    <cfRule type="duplicateValues" dxfId="12" priority="3"/>
  </conditionalFormatting>
  <conditionalFormatting sqref="I11:J11 I13:I15 I8:I10">
    <cfRule type="duplicateValues" dxfId="11" priority="7"/>
  </conditionalFormatting>
  <conditionalFormatting sqref="J2:J6">
    <cfRule type="duplicateValues" dxfId="10" priority="13"/>
  </conditionalFormatting>
  <conditionalFormatting sqref="J7">
    <cfRule type="duplicateValues" dxfId="9"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66E9-CB2C-4B52-A919-698AC703E029}">
  <dimension ref="A1:S12"/>
  <sheetViews>
    <sheetView workbookViewId="0">
      <selection activeCell="M19" sqref="M19"/>
    </sheetView>
  </sheetViews>
  <sheetFormatPr defaultRowHeight="14.4"/>
  <cols>
    <col min="1" max="1" width="9.88671875" bestFit="1" customWidth="1"/>
  </cols>
  <sheetData>
    <row r="1" spans="1:19">
      <c r="A1" t="s">
        <v>282</v>
      </c>
      <c r="B1" t="s">
        <v>110</v>
      </c>
      <c r="C1" t="s">
        <v>111</v>
      </c>
      <c r="D1" t="s">
        <v>10</v>
      </c>
      <c r="E1" t="s">
        <v>17</v>
      </c>
      <c r="F1" t="s">
        <v>11</v>
      </c>
      <c r="G1" t="s">
        <v>18</v>
      </c>
      <c r="H1" t="s">
        <v>12</v>
      </c>
      <c r="I1" t="s">
        <v>19</v>
      </c>
      <c r="J1" t="s">
        <v>13</v>
      </c>
      <c r="K1" t="s">
        <v>20</v>
      </c>
      <c r="L1" t="s">
        <v>14</v>
      </c>
      <c r="M1" t="s">
        <v>21</v>
      </c>
      <c r="N1" t="s">
        <v>15</v>
      </c>
      <c r="O1" t="s">
        <v>22</v>
      </c>
      <c r="P1" t="s">
        <v>16</v>
      </c>
      <c r="Q1" t="s">
        <v>23</v>
      </c>
      <c r="R1" t="s">
        <v>80</v>
      </c>
      <c r="S1" t="s">
        <v>81</v>
      </c>
    </row>
    <row r="2" spans="1:19">
      <c r="A2" t="s">
        <v>73</v>
      </c>
      <c r="B2" t="s">
        <v>260</v>
      </c>
      <c r="C2" t="s">
        <v>533</v>
      </c>
      <c r="D2" t="s">
        <v>109</v>
      </c>
      <c r="E2" t="s">
        <v>534</v>
      </c>
      <c r="F2" t="s">
        <v>109</v>
      </c>
      <c r="G2" t="s">
        <v>535</v>
      </c>
      <c r="H2" t="s">
        <v>232</v>
      </c>
      <c r="I2" t="s">
        <v>507</v>
      </c>
      <c r="J2" t="s">
        <v>232</v>
      </c>
      <c r="K2" t="s">
        <v>507</v>
      </c>
      <c r="L2" t="s">
        <v>232</v>
      </c>
      <c r="M2" t="s">
        <v>507</v>
      </c>
      <c r="N2" t="s">
        <v>232</v>
      </c>
      <c r="O2" t="s">
        <v>507</v>
      </c>
      <c r="P2" t="s">
        <v>232</v>
      </c>
      <c r="Q2" t="s">
        <v>507</v>
      </c>
      <c r="R2" t="s">
        <v>232</v>
      </c>
      <c r="S2" t="s">
        <v>507</v>
      </c>
    </row>
    <row r="3" spans="1:19">
      <c r="A3" t="s">
        <v>488</v>
      </c>
      <c r="B3" t="s">
        <v>260</v>
      </c>
      <c r="C3" t="s">
        <v>536</v>
      </c>
      <c r="D3" t="s">
        <v>109</v>
      </c>
      <c r="E3" t="s">
        <v>537</v>
      </c>
      <c r="F3" t="s">
        <v>109</v>
      </c>
      <c r="G3" t="s">
        <v>538</v>
      </c>
      <c r="H3" t="s">
        <v>232</v>
      </c>
      <c r="I3" t="s">
        <v>507</v>
      </c>
      <c r="J3" t="s">
        <v>232</v>
      </c>
      <c r="K3" t="s">
        <v>507</v>
      </c>
      <c r="L3" t="s">
        <v>232</v>
      </c>
      <c r="M3" t="s">
        <v>507</v>
      </c>
      <c r="N3" t="s">
        <v>232</v>
      </c>
      <c r="O3" t="s">
        <v>507</v>
      </c>
      <c r="P3" t="s">
        <v>232</v>
      </c>
      <c r="Q3" t="s">
        <v>507</v>
      </c>
      <c r="R3" t="s">
        <v>232</v>
      </c>
      <c r="S3" t="s">
        <v>507</v>
      </c>
    </row>
    <row r="4" spans="1:19">
      <c r="A4" t="s">
        <v>489</v>
      </c>
      <c r="B4" t="s">
        <v>260</v>
      </c>
      <c r="C4" t="s">
        <v>539</v>
      </c>
      <c r="D4" t="s">
        <v>109</v>
      </c>
      <c r="E4" t="s">
        <v>540</v>
      </c>
      <c r="F4" t="s">
        <v>109</v>
      </c>
      <c r="G4" t="s">
        <v>541</v>
      </c>
      <c r="H4" t="s">
        <v>232</v>
      </c>
      <c r="I4" t="s">
        <v>507</v>
      </c>
      <c r="J4" t="s">
        <v>232</v>
      </c>
      <c r="K4" t="s">
        <v>507</v>
      </c>
      <c r="L4" t="s">
        <v>232</v>
      </c>
      <c r="M4" t="s">
        <v>507</v>
      </c>
      <c r="N4" t="s">
        <v>232</v>
      </c>
      <c r="O4" t="s">
        <v>507</v>
      </c>
      <c r="P4" t="s">
        <v>232</v>
      </c>
      <c r="Q4" t="s">
        <v>507</v>
      </c>
      <c r="R4" t="s">
        <v>232</v>
      </c>
      <c r="S4" t="s">
        <v>507</v>
      </c>
    </row>
    <row r="5" spans="1:19">
      <c r="A5" t="s">
        <v>490</v>
      </c>
      <c r="B5" t="s">
        <v>260</v>
      </c>
      <c r="C5" t="s">
        <v>542</v>
      </c>
      <c r="D5" t="s">
        <v>109</v>
      </c>
      <c r="E5" t="s">
        <v>543</v>
      </c>
      <c r="F5" t="s">
        <v>109</v>
      </c>
      <c r="G5" t="s">
        <v>544</v>
      </c>
      <c r="H5" t="s">
        <v>232</v>
      </c>
      <c r="I5" t="s">
        <v>507</v>
      </c>
      <c r="J5" t="s">
        <v>232</v>
      </c>
      <c r="K5" t="s">
        <v>507</v>
      </c>
      <c r="L5" t="s">
        <v>232</v>
      </c>
      <c r="M5" t="s">
        <v>507</v>
      </c>
      <c r="N5" t="s">
        <v>232</v>
      </c>
      <c r="O5" t="s">
        <v>507</v>
      </c>
      <c r="P5" t="s">
        <v>232</v>
      </c>
      <c r="Q5" t="s">
        <v>507</v>
      </c>
      <c r="R5" t="s">
        <v>232</v>
      </c>
      <c r="S5" t="s">
        <v>507</v>
      </c>
    </row>
    <row r="6" spans="1:19">
      <c r="A6" t="s">
        <v>491</v>
      </c>
      <c r="B6" t="s">
        <v>260</v>
      </c>
      <c r="C6" t="s">
        <v>545</v>
      </c>
      <c r="D6" t="s">
        <v>109</v>
      </c>
      <c r="E6" t="s">
        <v>546</v>
      </c>
      <c r="F6" t="s">
        <v>109</v>
      </c>
      <c r="G6" t="s">
        <v>547</v>
      </c>
      <c r="H6" t="s">
        <v>232</v>
      </c>
      <c r="I6" t="s">
        <v>507</v>
      </c>
      <c r="J6" t="s">
        <v>232</v>
      </c>
      <c r="K6" t="s">
        <v>507</v>
      </c>
      <c r="L6" t="s">
        <v>232</v>
      </c>
      <c r="M6" t="s">
        <v>507</v>
      </c>
      <c r="N6" t="s">
        <v>232</v>
      </c>
      <c r="O6" t="s">
        <v>507</v>
      </c>
      <c r="P6" t="s">
        <v>232</v>
      </c>
      <c r="Q6" t="s">
        <v>507</v>
      </c>
      <c r="R6" t="s">
        <v>232</v>
      </c>
      <c r="S6" t="s">
        <v>507</v>
      </c>
    </row>
    <row r="7" spans="1:19">
      <c r="A7" t="s">
        <v>492</v>
      </c>
      <c r="B7" t="s">
        <v>260</v>
      </c>
      <c r="C7" t="s">
        <v>548</v>
      </c>
      <c r="D7" t="s">
        <v>109</v>
      </c>
      <c r="E7" t="s">
        <v>549</v>
      </c>
      <c r="F7" t="s">
        <v>109</v>
      </c>
      <c r="G7" t="s">
        <v>550</v>
      </c>
      <c r="H7" t="s">
        <v>232</v>
      </c>
      <c r="I7" t="s">
        <v>507</v>
      </c>
      <c r="J7" t="s">
        <v>232</v>
      </c>
      <c r="K7" t="s">
        <v>507</v>
      </c>
      <c r="L7" t="s">
        <v>232</v>
      </c>
      <c r="M7" t="s">
        <v>507</v>
      </c>
      <c r="N7" t="s">
        <v>232</v>
      </c>
      <c r="O7" t="s">
        <v>507</v>
      </c>
      <c r="P7" t="s">
        <v>232</v>
      </c>
      <c r="Q7" t="s">
        <v>507</v>
      </c>
      <c r="R7" t="s">
        <v>232</v>
      </c>
      <c r="S7" t="s">
        <v>507</v>
      </c>
    </row>
    <row r="8" spans="1:19">
      <c r="A8" t="s">
        <v>493</v>
      </c>
      <c r="B8" t="s">
        <v>260</v>
      </c>
      <c r="C8" t="s">
        <v>551</v>
      </c>
      <c r="D8" t="s">
        <v>109</v>
      </c>
      <c r="E8" t="s">
        <v>552</v>
      </c>
      <c r="F8" t="s">
        <v>109</v>
      </c>
      <c r="G8" t="s">
        <v>553</v>
      </c>
      <c r="H8" t="s">
        <v>232</v>
      </c>
      <c r="I8" t="s">
        <v>507</v>
      </c>
      <c r="J8" t="s">
        <v>232</v>
      </c>
      <c r="K8" t="s">
        <v>507</v>
      </c>
      <c r="L8" t="s">
        <v>232</v>
      </c>
      <c r="M8" t="s">
        <v>507</v>
      </c>
      <c r="N8" t="s">
        <v>232</v>
      </c>
      <c r="O8" t="s">
        <v>507</v>
      </c>
      <c r="P8" t="s">
        <v>232</v>
      </c>
      <c r="Q8" t="s">
        <v>507</v>
      </c>
      <c r="R8" t="s">
        <v>232</v>
      </c>
      <c r="S8" t="s">
        <v>507</v>
      </c>
    </row>
    <row r="9" spans="1:19">
      <c r="A9" t="s">
        <v>494</v>
      </c>
      <c r="B9" t="s">
        <v>260</v>
      </c>
      <c r="C9" t="s">
        <v>554</v>
      </c>
      <c r="D9" t="s">
        <v>109</v>
      </c>
      <c r="E9" t="s">
        <v>555</v>
      </c>
      <c r="F9" t="s">
        <v>109</v>
      </c>
      <c r="G9" t="s">
        <v>556</v>
      </c>
      <c r="H9" t="s">
        <v>232</v>
      </c>
      <c r="I9" t="s">
        <v>507</v>
      </c>
      <c r="J9" t="s">
        <v>232</v>
      </c>
      <c r="K9" t="s">
        <v>507</v>
      </c>
      <c r="L9" t="s">
        <v>232</v>
      </c>
      <c r="M9" t="s">
        <v>507</v>
      </c>
      <c r="N9" t="s">
        <v>232</v>
      </c>
      <c r="O9" t="s">
        <v>507</v>
      </c>
      <c r="P9" t="s">
        <v>232</v>
      </c>
      <c r="Q9" t="s">
        <v>507</v>
      </c>
      <c r="R9" t="s">
        <v>232</v>
      </c>
      <c r="S9" t="s">
        <v>507</v>
      </c>
    </row>
    <row r="10" spans="1:19">
      <c r="A10" t="s">
        <v>495</v>
      </c>
      <c r="B10" t="s">
        <v>260</v>
      </c>
      <c r="C10" t="s">
        <v>557</v>
      </c>
      <c r="D10" t="s">
        <v>109</v>
      </c>
      <c r="E10" t="s">
        <v>558</v>
      </c>
      <c r="F10" t="s">
        <v>109</v>
      </c>
      <c r="G10" t="s">
        <v>559</v>
      </c>
      <c r="H10" t="s">
        <v>232</v>
      </c>
      <c r="I10" t="s">
        <v>507</v>
      </c>
      <c r="J10" t="s">
        <v>232</v>
      </c>
      <c r="K10" t="s">
        <v>507</v>
      </c>
      <c r="L10" t="s">
        <v>232</v>
      </c>
      <c r="M10" t="s">
        <v>507</v>
      </c>
      <c r="N10" t="s">
        <v>232</v>
      </c>
      <c r="O10" t="s">
        <v>507</v>
      </c>
      <c r="P10" t="s">
        <v>232</v>
      </c>
      <c r="Q10" t="s">
        <v>507</v>
      </c>
      <c r="R10" t="s">
        <v>232</v>
      </c>
      <c r="S10" t="s">
        <v>507</v>
      </c>
    </row>
    <row r="11" spans="1:19">
      <c r="A11" t="s">
        <v>496</v>
      </c>
      <c r="B11" t="s">
        <v>260</v>
      </c>
      <c r="C11" t="s">
        <v>560</v>
      </c>
      <c r="D11" t="s">
        <v>109</v>
      </c>
      <c r="E11" t="s">
        <v>561</v>
      </c>
      <c r="F11" t="s">
        <v>109</v>
      </c>
      <c r="G11" t="s">
        <v>562</v>
      </c>
      <c r="H11" t="s">
        <v>232</v>
      </c>
      <c r="I11" t="s">
        <v>507</v>
      </c>
      <c r="J11" t="s">
        <v>232</v>
      </c>
      <c r="K11" t="s">
        <v>507</v>
      </c>
      <c r="L11" t="s">
        <v>232</v>
      </c>
      <c r="M11" t="s">
        <v>507</v>
      </c>
      <c r="N11" t="s">
        <v>232</v>
      </c>
      <c r="O11" t="s">
        <v>507</v>
      </c>
      <c r="P11" t="s">
        <v>232</v>
      </c>
      <c r="Q11" t="s">
        <v>507</v>
      </c>
      <c r="R11" t="s">
        <v>232</v>
      </c>
      <c r="S11" t="s">
        <v>507</v>
      </c>
    </row>
    <row r="12" spans="1:19">
      <c r="A12" t="s">
        <v>497</v>
      </c>
      <c r="B12" t="s">
        <v>260</v>
      </c>
      <c r="C12" t="s">
        <v>563</v>
      </c>
      <c r="D12" t="s">
        <v>109</v>
      </c>
      <c r="E12" t="s">
        <v>564</v>
      </c>
      <c r="F12" t="s">
        <v>109</v>
      </c>
      <c r="G12" t="s">
        <v>565</v>
      </c>
      <c r="H12" t="s">
        <v>232</v>
      </c>
      <c r="I12" t="s">
        <v>507</v>
      </c>
      <c r="J12" t="s">
        <v>232</v>
      </c>
      <c r="K12" t="s">
        <v>507</v>
      </c>
      <c r="L12" t="s">
        <v>232</v>
      </c>
      <c r="M12" t="s">
        <v>507</v>
      </c>
      <c r="N12" t="s">
        <v>232</v>
      </c>
      <c r="O12" t="s">
        <v>507</v>
      </c>
      <c r="P12" t="s">
        <v>232</v>
      </c>
      <c r="Q12" t="s">
        <v>507</v>
      </c>
      <c r="R12" t="s">
        <v>232</v>
      </c>
      <c r="S12" t="s">
        <v>507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85C64-E266-49E7-8E45-0469E2034E69}">
  <dimension ref="A1:B19"/>
  <sheetViews>
    <sheetView workbookViewId="0">
      <selection sqref="A1:B19"/>
    </sheetView>
  </sheetViews>
  <sheetFormatPr defaultRowHeight="14.4"/>
  <sheetData>
    <row r="1" spans="1:2">
      <c r="A1" t="s">
        <v>72</v>
      </c>
      <c r="B1" t="s">
        <v>73</v>
      </c>
    </row>
    <row r="2" spans="1:2">
      <c r="A2" t="s">
        <v>110</v>
      </c>
      <c r="B2" t="s">
        <v>260</v>
      </c>
    </row>
    <row r="3" spans="1:2">
      <c r="A3" t="s">
        <v>111</v>
      </c>
      <c r="B3" t="s">
        <v>277</v>
      </c>
    </row>
    <row r="4" spans="1:2">
      <c r="A4" t="s">
        <v>10</v>
      </c>
      <c r="B4" t="s">
        <v>109</v>
      </c>
    </row>
    <row r="5" spans="1:2">
      <c r="A5" t="s">
        <v>17</v>
      </c>
      <c r="B5" t="s">
        <v>278</v>
      </c>
    </row>
    <row r="6" spans="1:2">
      <c r="A6" t="s">
        <v>11</v>
      </c>
      <c r="B6" t="s">
        <v>109</v>
      </c>
    </row>
    <row r="7" spans="1:2">
      <c r="A7" t="s">
        <v>18</v>
      </c>
      <c r="B7" t="s">
        <v>279</v>
      </c>
    </row>
    <row r="8" spans="1:2">
      <c r="A8" t="s">
        <v>12</v>
      </c>
      <c r="B8" t="s">
        <v>232</v>
      </c>
    </row>
    <row r="9" spans="1:2">
      <c r="A9" t="s">
        <v>19</v>
      </c>
      <c r="B9" t="s">
        <v>280</v>
      </c>
    </row>
    <row r="10" spans="1:2">
      <c r="A10" t="s">
        <v>13</v>
      </c>
      <c r="B10" t="s">
        <v>232</v>
      </c>
    </row>
    <row r="11" spans="1:2">
      <c r="A11" t="s">
        <v>20</v>
      </c>
      <c r="B11" t="s">
        <v>280</v>
      </c>
    </row>
    <row r="12" spans="1:2">
      <c r="A12" t="s">
        <v>14</v>
      </c>
      <c r="B12" t="s">
        <v>232</v>
      </c>
    </row>
    <row r="13" spans="1:2">
      <c r="A13" t="s">
        <v>21</v>
      </c>
      <c r="B13" t="s">
        <v>280</v>
      </c>
    </row>
    <row r="14" spans="1:2">
      <c r="A14" t="s">
        <v>15</v>
      </c>
      <c r="B14" t="s">
        <v>232</v>
      </c>
    </row>
    <row r="15" spans="1:2">
      <c r="A15" t="s">
        <v>22</v>
      </c>
      <c r="B15" t="s">
        <v>280</v>
      </c>
    </row>
    <row r="16" spans="1:2">
      <c r="A16" t="s">
        <v>16</v>
      </c>
      <c r="B16" t="s">
        <v>232</v>
      </c>
    </row>
    <row r="17" spans="1:2">
      <c r="A17" t="s">
        <v>23</v>
      </c>
      <c r="B17" t="s">
        <v>280</v>
      </c>
    </row>
    <row r="18" spans="1:2">
      <c r="A18" t="s">
        <v>80</v>
      </c>
      <c r="B18" t="s">
        <v>232</v>
      </c>
    </row>
    <row r="19" spans="1:2">
      <c r="A19" t="s">
        <v>81</v>
      </c>
      <c r="B19" t="s">
        <v>280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6F07F-DAFB-4C86-A27F-A7ADCCCFB0AE}">
  <dimension ref="A2:G8"/>
  <sheetViews>
    <sheetView workbookViewId="0">
      <selection activeCell="G2" sqref="G2"/>
    </sheetView>
  </sheetViews>
  <sheetFormatPr defaultRowHeight="14.4"/>
  <cols>
    <col min="1" max="1" width="25.21875" bestFit="1" customWidth="1"/>
    <col min="2" max="2" width="13.44140625" bestFit="1" customWidth="1"/>
  </cols>
  <sheetData>
    <row r="2" spans="1:7" ht="18">
      <c r="A2" s="6" t="s">
        <v>84</v>
      </c>
      <c r="B2" t="s">
        <v>120</v>
      </c>
      <c r="C2">
        <v>200</v>
      </c>
      <c r="D2">
        <v>1</v>
      </c>
      <c r="E2">
        <f>C2*D2</f>
        <v>200</v>
      </c>
      <c r="F2" s="36" t="s">
        <v>121</v>
      </c>
      <c r="G2" t="str">
        <f>_xlfn.CONCAT(B2,E2,F2,)</f>
        <v>{ paddingTop: "200"}</v>
      </c>
    </row>
    <row r="3" spans="1:7" ht="18">
      <c r="A3" s="6" t="s">
        <v>104</v>
      </c>
      <c r="B3" t="s">
        <v>120</v>
      </c>
      <c r="C3">
        <v>300</v>
      </c>
      <c r="D3">
        <v>1.05</v>
      </c>
      <c r="E3">
        <f t="shared" ref="E3:E7" si="0">C3*D3</f>
        <v>315</v>
      </c>
      <c r="F3" s="36" t="s">
        <v>121</v>
      </c>
      <c r="G3" t="str">
        <f t="shared" ref="G3:G7" si="1">_xlfn.CONCAT(B3,E3,F3,)</f>
        <v>{ paddingTop: "315"}</v>
      </c>
    </row>
    <row r="4" spans="1:7" ht="18">
      <c r="A4" s="6" t="s">
        <v>88</v>
      </c>
      <c r="B4" t="s">
        <v>120</v>
      </c>
      <c r="C4">
        <v>450</v>
      </c>
      <c r="D4">
        <v>1.1000000000000001</v>
      </c>
      <c r="E4">
        <f t="shared" si="0"/>
        <v>495.00000000000006</v>
      </c>
      <c r="F4" s="36" t="s">
        <v>121</v>
      </c>
      <c r="G4" t="str">
        <f t="shared" si="1"/>
        <v>{ paddingTop: "495"}</v>
      </c>
    </row>
    <row r="5" spans="1:7" ht="18">
      <c r="A5" s="6" t="s">
        <v>105</v>
      </c>
      <c r="B5" t="s">
        <v>120</v>
      </c>
      <c r="C5">
        <v>650</v>
      </c>
      <c r="D5">
        <v>1.1499999999999999</v>
      </c>
      <c r="E5">
        <f t="shared" si="0"/>
        <v>747.49999999999989</v>
      </c>
      <c r="F5" s="36" t="s">
        <v>121</v>
      </c>
      <c r="G5" t="str">
        <f t="shared" si="1"/>
        <v>{ paddingTop: "747.5"}</v>
      </c>
    </row>
    <row r="6" spans="1:7" ht="18">
      <c r="A6" s="6" t="s">
        <v>106</v>
      </c>
      <c r="B6" t="s">
        <v>120</v>
      </c>
      <c r="C6">
        <v>900</v>
      </c>
      <c r="D6">
        <v>1.2</v>
      </c>
      <c r="E6">
        <f t="shared" si="0"/>
        <v>1080</v>
      </c>
      <c r="F6" s="36" t="s">
        <v>121</v>
      </c>
      <c r="G6" t="str">
        <f t="shared" si="1"/>
        <v>{ paddingTop: "1080"}</v>
      </c>
    </row>
    <row r="7" spans="1:7" ht="18">
      <c r="A7" s="6" t="s">
        <v>87</v>
      </c>
      <c r="B7" t="s">
        <v>120</v>
      </c>
      <c r="C7">
        <v>1200</v>
      </c>
      <c r="D7">
        <v>1.25</v>
      </c>
      <c r="E7">
        <f t="shared" si="0"/>
        <v>1500</v>
      </c>
      <c r="F7" s="36" t="s">
        <v>121</v>
      </c>
      <c r="G7" t="str">
        <f t="shared" si="1"/>
        <v>{ paddingTop: "1500"}</v>
      </c>
    </row>
    <row r="8" spans="1:7" ht="18">
      <c r="A8"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85AC6-C3A8-48A3-BFE1-EDF913C42C64}">
  <dimension ref="A1:E11"/>
  <sheetViews>
    <sheetView workbookViewId="0">
      <selection activeCell="A4" sqref="A1:E10"/>
    </sheetView>
  </sheetViews>
  <sheetFormatPr defaultColWidth="21.5546875" defaultRowHeight="14.4"/>
  <cols>
    <col min="1" max="16384" width="21.5546875" style="3"/>
  </cols>
  <sheetData>
    <row r="1" spans="1:5" ht="15">
      <c r="A1" s="2" t="s">
        <v>0</v>
      </c>
      <c r="B1" s="2" t="s">
        <v>234</v>
      </c>
      <c r="C1" s="2" t="s">
        <v>233</v>
      </c>
      <c r="D1" s="2" t="s">
        <v>231</v>
      </c>
      <c r="E1" s="3" t="s">
        <v>9</v>
      </c>
    </row>
    <row r="2" spans="1:5" ht="15">
      <c r="A2" s="2" t="s">
        <v>110</v>
      </c>
      <c r="B2" s="2"/>
      <c r="C2" s="2"/>
      <c r="D2" s="2"/>
      <c r="E2" s="3" t="s">
        <v>111</v>
      </c>
    </row>
    <row r="3" spans="1:5" ht="15">
      <c r="A3" s="2" t="s">
        <v>10</v>
      </c>
      <c r="B3" s="2"/>
      <c r="C3" s="2"/>
      <c r="D3" s="2"/>
      <c r="E3" s="3" t="s">
        <v>17</v>
      </c>
    </row>
    <row r="4" spans="1:5" ht="15">
      <c r="A4" s="2" t="s">
        <v>11</v>
      </c>
      <c r="B4" s="2"/>
      <c r="C4" s="2"/>
      <c r="D4" s="2"/>
      <c r="E4" s="3" t="s">
        <v>18</v>
      </c>
    </row>
    <row r="5" spans="1:5" ht="15">
      <c r="A5" s="2" t="s">
        <v>12</v>
      </c>
      <c r="B5" s="2"/>
      <c r="C5" s="2"/>
      <c r="D5" s="2"/>
      <c r="E5" s="3" t="s">
        <v>19</v>
      </c>
    </row>
    <row r="6" spans="1:5" ht="15">
      <c r="A6" s="2" t="s">
        <v>13</v>
      </c>
      <c r="B6" s="2"/>
      <c r="C6" s="2"/>
      <c r="D6" s="2"/>
      <c r="E6" s="3" t="s">
        <v>20</v>
      </c>
    </row>
    <row r="7" spans="1:5" ht="15">
      <c r="A7" s="2" t="s">
        <v>14</v>
      </c>
      <c r="B7" s="2"/>
      <c r="C7" s="2"/>
      <c r="D7" s="2"/>
      <c r="E7" s="3" t="s">
        <v>21</v>
      </c>
    </row>
    <row r="8" spans="1:5" ht="15">
      <c r="A8" s="2" t="s">
        <v>15</v>
      </c>
      <c r="B8" s="2"/>
      <c r="C8" s="2"/>
      <c r="D8" s="2"/>
      <c r="E8" s="3" t="s">
        <v>22</v>
      </c>
    </row>
    <row r="9" spans="1:5" ht="15">
      <c r="A9" s="2" t="s">
        <v>16</v>
      </c>
      <c r="B9" s="2"/>
      <c r="E9" s="3" t="s">
        <v>23</v>
      </c>
    </row>
    <row r="10" spans="1:5" ht="15">
      <c r="A10" s="2" t="s">
        <v>80</v>
      </c>
      <c r="E10" s="3" t="s">
        <v>81</v>
      </c>
    </row>
    <row r="11" spans="1:5" ht="15">
      <c r="A11" s="2"/>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2D4DD-A7E8-4C12-AF0A-8B19492F26C5}">
  <dimension ref="A1:H13"/>
  <sheetViews>
    <sheetView workbookViewId="0">
      <selection activeCell="F9" sqref="F9"/>
    </sheetView>
  </sheetViews>
  <sheetFormatPr defaultRowHeight="14.4"/>
  <cols>
    <col min="1" max="1" width="15.21875" customWidth="1"/>
    <col min="2" max="2" width="16" customWidth="1"/>
    <col min="3" max="4" width="27.44140625" customWidth="1"/>
    <col min="5" max="5" width="26.109375" customWidth="1"/>
    <col min="6" max="6" width="17.109375" customWidth="1"/>
    <col min="7" max="7" width="15.88671875" customWidth="1"/>
  </cols>
  <sheetData>
    <row r="1" spans="1:8" ht="15">
      <c r="A1" s="2" t="s">
        <v>0</v>
      </c>
      <c r="B1" s="2" t="s">
        <v>237</v>
      </c>
      <c r="C1" s="2" t="s">
        <v>233</v>
      </c>
      <c r="D1" s="2" t="s">
        <v>230</v>
      </c>
      <c r="E1" s="2" t="s">
        <v>241</v>
      </c>
      <c r="F1" s="2" t="s">
        <v>231</v>
      </c>
      <c r="G1" s="2" t="s">
        <v>259</v>
      </c>
      <c r="H1" s="2"/>
    </row>
    <row r="2" spans="1:8" ht="82.8">
      <c r="A2" s="2" t="s">
        <v>260</v>
      </c>
      <c r="B2" s="2"/>
      <c r="C2" s="2"/>
      <c r="D2" s="2"/>
      <c r="E2" s="2"/>
      <c r="F2" s="2">
        <v>0.1</v>
      </c>
      <c r="G2" s="53" t="s">
        <v>269</v>
      </c>
      <c r="H2" s="2"/>
    </row>
    <row r="3" spans="1:8" ht="18">
      <c r="A3" s="2" t="s">
        <v>109</v>
      </c>
      <c r="B3" s="3">
        <v>0</v>
      </c>
      <c r="C3" s="32" t="s">
        <v>270</v>
      </c>
      <c r="D3" s="32">
        <v>0</v>
      </c>
      <c r="E3" s="2"/>
      <c r="F3" s="2">
        <v>20</v>
      </c>
    </row>
    <row r="4" spans="1:8" ht="18">
      <c r="A4" s="2" t="s">
        <v>232</v>
      </c>
      <c r="B4" s="3">
        <v>10</v>
      </c>
      <c r="C4" s="32" t="s">
        <v>228</v>
      </c>
      <c r="D4" s="32">
        <v>0</v>
      </c>
      <c r="E4" s="2"/>
      <c r="F4" s="2">
        <v>5</v>
      </c>
      <c r="G4" s="3"/>
    </row>
    <row r="5" spans="1:8" ht="18">
      <c r="A5" s="2" t="s">
        <v>232</v>
      </c>
      <c r="B5" s="3">
        <v>5</v>
      </c>
      <c r="C5" s="32" t="s">
        <v>228</v>
      </c>
      <c r="D5" s="32">
        <v>0</v>
      </c>
      <c r="E5" s="2"/>
      <c r="F5" s="2">
        <v>5</v>
      </c>
      <c r="G5" s="3"/>
    </row>
    <row r="6" spans="1:8" ht="15">
      <c r="A6" s="2" t="s">
        <v>232</v>
      </c>
      <c r="B6" s="2"/>
      <c r="C6" s="2"/>
      <c r="D6" s="2"/>
      <c r="E6" s="2" t="s">
        <v>243</v>
      </c>
      <c r="F6" s="3">
        <v>5</v>
      </c>
      <c r="G6" s="3"/>
    </row>
    <row r="7" spans="1:8" ht="20.399999999999999">
      <c r="A7" s="2" t="s">
        <v>232</v>
      </c>
      <c r="B7" s="35"/>
      <c r="C7" s="2"/>
      <c r="D7" s="2"/>
      <c r="E7" s="2"/>
      <c r="F7" s="3"/>
      <c r="G7" s="3"/>
    </row>
    <row r="8" spans="1:8" ht="15">
      <c r="A8" s="2" t="s">
        <v>232</v>
      </c>
      <c r="B8" s="2"/>
      <c r="C8" s="2"/>
      <c r="D8" s="2"/>
      <c r="E8" s="2"/>
      <c r="F8" s="3"/>
      <c r="G8" s="3"/>
    </row>
    <row r="9" spans="1:8" ht="15">
      <c r="A9" s="2" t="s">
        <v>232</v>
      </c>
      <c r="B9" s="2"/>
      <c r="C9" s="2"/>
      <c r="D9" s="2"/>
      <c r="E9" s="2"/>
      <c r="F9" s="3"/>
      <c r="G9" s="3"/>
    </row>
    <row r="10" spans="1:8" ht="15">
      <c r="A10" s="2" t="s">
        <v>232</v>
      </c>
      <c r="B10" s="2"/>
      <c r="C10" s="2"/>
      <c r="D10" s="2"/>
      <c r="E10" s="3"/>
      <c r="F10" s="3"/>
      <c r="G10" s="3"/>
    </row>
    <row r="11" spans="1:8" ht="15">
      <c r="A11" s="2" t="s">
        <v>232</v>
      </c>
      <c r="B11" s="2"/>
      <c r="C11" s="2"/>
      <c r="D11" s="2"/>
      <c r="E11" s="3"/>
      <c r="F11" s="3"/>
      <c r="G11" s="3"/>
    </row>
    <row r="13" spans="1:8" ht="15">
      <c r="A13" s="2"/>
      <c r="B13" s="3"/>
      <c r="C13" s="2"/>
      <c r="D13" s="2"/>
      <c r="E13" s="2"/>
      <c r="F13" s="2"/>
    </row>
  </sheetData>
  <phoneticPr fontId="3" type="noConversion"/>
  <conditionalFormatting sqref="C3:D3">
    <cfRule type="duplicateValues" dxfId="8" priority="3"/>
  </conditionalFormatting>
  <conditionalFormatting sqref="C4:D4">
    <cfRule type="duplicateValues" dxfId="7" priority="2"/>
  </conditionalFormatting>
  <conditionalFormatting sqref="C5:D5">
    <cfRule type="duplicateValues" dxfId="6"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1AC16-7A31-400B-B2B9-87D0DFFF10F7}">
  <dimension ref="A1:J11"/>
  <sheetViews>
    <sheetView workbookViewId="0">
      <selection activeCell="B4" sqref="A1:J11"/>
    </sheetView>
  </sheetViews>
  <sheetFormatPr defaultColWidth="20.109375" defaultRowHeight="14.4"/>
  <sheetData>
    <row r="1" spans="1:10" ht="15.6">
      <c r="A1" s="54" t="s">
        <v>0</v>
      </c>
      <c r="B1" s="54" t="s">
        <v>237</v>
      </c>
      <c r="C1" s="54" t="s">
        <v>233</v>
      </c>
      <c r="D1" s="54" t="s">
        <v>230</v>
      </c>
      <c r="E1" s="54" t="s">
        <v>241</v>
      </c>
      <c r="F1" s="54" t="s">
        <v>231</v>
      </c>
      <c r="G1" s="54" t="s">
        <v>259</v>
      </c>
      <c r="H1" s="54" t="s">
        <v>258</v>
      </c>
      <c r="I1" s="54" t="s">
        <v>271</v>
      </c>
      <c r="J1" s="54" t="s">
        <v>273</v>
      </c>
    </row>
    <row r="2" spans="1:10" ht="15.6">
      <c r="A2" s="54" t="s">
        <v>260</v>
      </c>
      <c r="B2" s="54"/>
      <c r="C2" s="54"/>
      <c r="D2" s="54"/>
      <c r="E2" s="54"/>
      <c r="F2" s="54">
        <v>0.1</v>
      </c>
      <c r="G2" t="s">
        <v>285</v>
      </c>
      <c r="H2" s="54"/>
      <c r="I2" t="s">
        <v>477</v>
      </c>
      <c r="J2" t="s">
        <v>478</v>
      </c>
    </row>
    <row r="3" spans="1:10" ht="18">
      <c r="A3" s="54" t="s">
        <v>109</v>
      </c>
      <c r="B3">
        <v>10</v>
      </c>
      <c r="C3" s="51" t="s">
        <v>281</v>
      </c>
      <c r="D3" s="51">
        <v>0</v>
      </c>
      <c r="E3" s="54"/>
      <c r="F3" s="54">
        <v>10</v>
      </c>
    </row>
    <row r="4" spans="1:10" ht="18">
      <c r="A4" s="54" t="s">
        <v>109</v>
      </c>
      <c r="B4">
        <v>30</v>
      </c>
      <c r="C4" s="51" t="s">
        <v>281</v>
      </c>
      <c r="D4" s="51">
        <v>0</v>
      </c>
      <c r="E4" s="54"/>
      <c r="F4" s="54">
        <v>10</v>
      </c>
    </row>
    <row r="5" spans="1:10" ht="18">
      <c r="A5" s="54" t="s">
        <v>232</v>
      </c>
      <c r="C5" s="51"/>
      <c r="D5" s="51"/>
      <c r="E5" s="54"/>
      <c r="F5" s="54"/>
    </row>
    <row r="6" spans="1:10" ht="15.6">
      <c r="A6" s="54" t="s">
        <v>232</v>
      </c>
      <c r="B6" s="54"/>
      <c r="C6" s="54"/>
      <c r="D6" s="54"/>
      <c r="E6" s="54"/>
    </row>
    <row r="7" spans="1:10" ht="30.6">
      <c r="A7" s="54" t="s">
        <v>232</v>
      </c>
      <c r="B7" s="55"/>
      <c r="C7" s="54"/>
      <c r="D7" s="54"/>
      <c r="E7" s="54"/>
      <c r="H7" s="56"/>
    </row>
    <row r="8" spans="1:10" ht="15.6">
      <c r="A8" s="54" t="s">
        <v>232</v>
      </c>
      <c r="B8" s="54"/>
      <c r="C8" s="54"/>
      <c r="D8" s="54"/>
      <c r="E8" s="54"/>
    </row>
    <row r="9" spans="1:10" ht="15.6">
      <c r="A9" s="54" t="s">
        <v>232</v>
      </c>
      <c r="B9" s="54"/>
      <c r="C9" s="54"/>
      <c r="D9" s="54"/>
      <c r="E9" s="54"/>
    </row>
    <row r="10" spans="1:10" ht="15.6">
      <c r="A10" s="54" t="s">
        <v>232</v>
      </c>
      <c r="B10" s="54"/>
      <c r="C10" s="54"/>
      <c r="D10" s="54"/>
    </row>
    <row r="11" spans="1:10" ht="15.6">
      <c r="A11" s="54" t="s">
        <v>232</v>
      </c>
      <c r="B11" s="54"/>
      <c r="C11" s="54"/>
      <c r="D11" s="54"/>
    </row>
  </sheetData>
  <conditionalFormatting sqref="C3:D3">
    <cfRule type="duplicateValues" dxfId="5" priority="4"/>
  </conditionalFormatting>
  <conditionalFormatting sqref="C4:D4">
    <cfRule type="duplicateValues" dxfId="4" priority="1"/>
  </conditionalFormatting>
  <conditionalFormatting sqref="C5:D5">
    <cfRule type="duplicateValues" dxfId="3" priority="2"/>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89BBA-8AE9-409F-A192-BBCD5CD99375}">
  <dimension ref="B2:G20"/>
  <sheetViews>
    <sheetView workbookViewId="0">
      <selection activeCell="L11" sqref="L11"/>
    </sheetView>
  </sheetViews>
  <sheetFormatPr defaultRowHeight="14.4"/>
  <sheetData>
    <row r="2" spans="2:7">
      <c r="B2" t="s">
        <v>2</v>
      </c>
    </row>
    <row r="3" spans="2:7">
      <c r="B3" t="s">
        <v>3</v>
      </c>
      <c r="C3" t="s">
        <v>4</v>
      </c>
    </row>
    <row r="4" spans="2:7">
      <c r="B4" t="s">
        <v>5</v>
      </c>
      <c r="C4" t="s">
        <v>222</v>
      </c>
    </row>
    <row r="5" spans="2:7">
      <c r="B5" t="s">
        <v>220</v>
      </c>
      <c r="C5" t="s">
        <v>221</v>
      </c>
    </row>
    <row r="6" spans="2:7">
      <c r="B6" t="s">
        <v>6</v>
      </c>
    </row>
    <row r="7" spans="2:7">
      <c r="B7" t="s">
        <v>7</v>
      </c>
      <c r="C7" t="s">
        <v>219</v>
      </c>
    </row>
    <row r="8" spans="2:7">
      <c r="B8" t="s">
        <v>8</v>
      </c>
      <c r="C8" t="s">
        <v>126</v>
      </c>
    </row>
    <row r="11" spans="2:7">
      <c r="F11">
        <v>10</v>
      </c>
      <c r="G11" t="s">
        <v>223</v>
      </c>
    </row>
    <row r="12" spans="2:7">
      <c r="F12">
        <v>19</v>
      </c>
      <c r="G12" t="s">
        <v>223</v>
      </c>
    </row>
    <row r="13" spans="2:7">
      <c r="F13">
        <v>20</v>
      </c>
      <c r="G13" t="s">
        <v>223</v>
      </c>
    </row>
    <row r="14" spans="2:7">
      <c r="F14">
        <v>21</v>
      </c>
      <c r="G14" t="s">
        <v>223</v>
      </c>
    </row>
    <row r="15" spans="2:7">
      <c r="F15">
        <v>22</v>
      </c>
      <c r="G15" t="s">
        <v>223</v>
      </c>
    </row>
    <row r="16" spans="2:7">
      <c r="F16">
        <v>23</v>
      </c>
    </row>
    <row r="20" spans="6:6">
      <c r="F20" s="1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CC873-6FB4-4990-8552-3F96B781EDD7}">
  <dimension ref="D2:M13"/>
  <sheetViews>
    <sheetView topLeftCell="A7" workbookViewId="0">
      <selection activeCell="M14" sqref="M14"/>
    </sheetView>
  </sheetViews>
  <sheetFormatPr defaultRowHeight="14.4"/>
  <cols>
    <col min="4" max="4" width="13.44140625" customWidth="1"/>
    <col min="7" max="7" width="11.77734375" customWidth="1"/>
    <col min="8" max="8" width="14.6640625" bestFit="1" customWidth="1"/>
  </cols>
  <sheetData>
    <row r="2" spans="4:13" ht="55.2">
      <c r="D2" s="41" t="s">
        <v>128</v>
      </c>
      <c r="E2" s="41"/>
      <c r="F2" s="41"/>
      <c r="G2" s="41"/>
      <c r="H2" s="41"/>
    </row>
    <row r="3" spans="4:13" ht="41.4">
      <c r="D3" s="42" t="s">
        <v>127</v>
      </c>
      <c r="E3" s="43" t="s">
        <v>133</v>
      </c>
      <c r="F3" s="43" t="s">
        <v>134</v>
      </c>
      <c r="G3" s="43" t="s">
        <v>135</v>
      </c>
      <c r="H3" s="43" t="s">
        <v>136</v>
      </c>
      <c r="I3" s="43" t="s">
        <v>137</v>
      </c>
      <c r="J3" s="47" t="s">
        <v>138</v>
      </c>
      <c r="K3" s="47" t="s">
        <v>139</v>
      </c>
    </row>
    <row r="4" spans="4:13">
      <c r="D4" s="44">
        <v>1</v>
      </c>
      <c r="E4" s="46" t="s">
        <v>129</v>
      </c>
      <c r="F4" s="46" t="s">
        <v>131</v>
      </c>
      <c r="G4" s="46" t="s">
        <v>132</v>
      </c>
      <c r="H4" s="46" t="s">
        <v>140</v>
      </c>
      <c r="I4" s="46" t="s">
        <v>141</v>
      </c>
      <c r="J4" s="48" t="s">
        <v>142</v>
      </c>
      <c r="K4" s="48" t="s">
        <v>143</v>
      </c>
    </row>
    <row r="5" spans="4:13">
      <c r="D5" s="44">
        <v>2</v>
      </c>
      <c r="E5" s="46" t="s">
        <v>130</v>
      </c>
      <c r="F5" s="46" t="s">
        <v>144</v>
      </c>
      <c r="G5" s="50" t="s">
        <v>145</v>
      </c>
      <c r="H5" s="46" t="s">
        <v>146</v>
      </c>
      <c r="I5" s="49" t="s">
        <v>147</v>
      </c>
      <c r="J5" s="48" t="s">
        <v>148</v>
      </c>
      <c r="K5" s="48" t="s">
        <v>149</v>
      </c>
    </row>
    <row r="6" spans="4:13">
      <c r="D6" s="44">
        <v>3</v>
      </c>
      <c r="E6" s="45" t="s">
        <v>150</v>
      </c>
      <c r="F6" s="49" t="s">
        <v>151</v>
      </c>
      <c r="G6" s="45" t="s">
        <v>152</v>
      </c>
      <c r="H6" s="45" t="s">
        <v>153</v>
      </c>
      <c r="I6" s="45" t="s">
        <v>154</v>
      </c>
      <c r="J6" s="48" t="s">
        <v>155</v>
      </c>
      <c r="K6" s="48" t="s">
        <v>156</v>
      </c>
    </row>
    <row r="7" spans="4:13">
      <c r="D7" s="44">
        <v>4</v>
      </c>
      <c r="E7" s="45" t="s">
        <v>157</v>
      </c>
      <c r="F7" s="45" t="s">
        <v>158</v>
      </c>
      <c r="G7" s="49" t="s">
        <v>159</v>
      </c>
      <c r="H7" s="45" t="s">
        <v>160</v>
      </c>
      <c r="I7" s="45" t="s">
        <v>161</v>
      </c>
      <c r="J7" s="48" t="s">
        <v>162</v>
      </c>
      <c r="K7" s="48" t="s">
        <v>163</v>
      </c>
      <c r="M7" s="19"/>
    </row>
    <row r="8" spans="4:13">
      <c r="D8" s="44">
        <v>5</v>
      </c>
      <c r="E8" s="49" t="s">
        <v>164</v>
      </c>
      <c r="F8" s="45" t="s">
        <v>165</v>
      </c>
      <c r="G8" s="45" t="s">
        <v>166</v>
      </c>
      <c r="H8" s="45" t="s">
        <v>167</v>
      </c>
      <c r="I8" s="45" t="s">
        <v>168</v>
      </c>
      <c r="J8" s="48" t="s">
        <v>169</v>
      </c>
      <c r="K8" s="48" t="s">
        <v>170</v>
      </c>
    </row>
    <row r="9" spans="4:13">
      <c r="D9" s="44">
        <v>6</v>
      </c>
      <c r="E9" s="45" t="s">
        <v>171</v>
      </c>
      <c r="F9" s="45" t="s">
        <v>172</v>
      </c>
      <c r="G9" s="45" t="s">
        <v>173</v>
      </c>
      <c r="H9" s="45" t="s">
        <v>174</v>
      </c>
      <c r="I9" s="45" t="s">
        <v>175</v>
      </c>
      <c r="J9" s="48" t="s">
        <v>176</v>
      </c>
      <c r="K9" s="48" t="s">
        <v>177</v>
      </c>
    </row>
    <row r="10" spans="4:13">
      <c r="D10" s="44">
        <v>7</v>
      </c>
      <c r="E10" s="45" t="s">
        <v>178</v>
      </c>
      <c r="F10" s="49" t="s">
        <v>179</v>
      </c>
      <c r="G10" s="45" t="s">
        <v>180</v>
      </c>
      <c r="H10" s="45" t="s">
        <v>181</v>
      </c>
      <c r="I10" s="45" t="s">
        <v>182</v>
      </c>
      <c r="J10" s="48" t="s">
        <v>183</v>
      </c>
      <c r="K10" s="48" t="s">
        <v>184</v>
      </c>
    </row>
    <row r="11" spans="4:13">
      <c r="D11" s="44">
        <v>8</v>
      </c>
      <c r="E11" s="45" t="s">
        <v>185</v>
      </c>
      <c r="F11" s="49" t="s">
        <v>186</v>
      </c>
      <c r="G11" s="45" t="s">
        <v>187</v>
      </c>
      <c r="H11" s="45" t="s">
        <v>188</v>
      </c>
      <c r="I11" s="45" t="s">
        <v>189</v>
      </c>
      <c r="J11" s="48" t="s">
        <v>190</v>
      </c>
      <c r="K11" s="48" t="s">
        <v>191</v>
      </c>
    </row>
    <row r="12" spans="4:13">
      <c r="D12" s="44">
        <v>9</v>
      </c>
      <c r="E12" s="45" t="s">
        <v>192</v>
      </c>
      <c r="F12" s="45" t="s">
        <v>193</v>
      </c>
      <c r="G12" s="45" t="s">
        <v>194</v>
      </c>
      <c r="H12" s="45" t="s">
        <v>195</v>
      </c>
      <c r="I12" s="45" t="s">
        <v>196</v>
      </c>
      <c r="J12" s="48" t="s">
        <v>197</v>
      </c>
      <c r="K12" s="48" t="s">
        <v>198</v>
      </c>
    </row>
    <row r="13" spans="4:13">
      <c r="D13" s="44">
        <v>10</v>
      </c>
      <c r="E13" s="45" t="s">
        <v>199</v>
      </c>
      <c r="F13" s="45" t="s">
        <v>200</v>
      </c>
      <c r="G13" s="45" t="s">
        <v>201</v>
      </c>
      <c r="H13" s="45" t="s">
        <v>202</v>
      </c>
      <c r="I13" s="45" t="s">
        <v>203</v>
      </c>
      <c r="J13" s="48" t="s">
        <v>204</v>
      </c>
      <c r="K13" s="48" t="s">
        <v>205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57078-5096-4E74-BCDD-DA797A04545F}">
  <dimension ref="D1:E42"/>
  <sheetViews>
    <sheetView workbookViewId="0">
      <selection activeCell="E10" sqref="D1:E42"/>
    </sheetView>
  </sheetViews>
  <sheetFormatPr defaultRowHeight="14.4"/>
  <cols>
    <col min="5" max="5" width="89.77734375" customWidth="1"/>
  </cols>
  <sheetData>
    <row r="1" spans="4:5">
      <c r="D1" s="65" t="s">
        <v>127</v>
      </c>
      <c r="E1" s="66" t="s">
        <v>306</v>
      </c>
    </row>
    <row r="2" spans="4:5">
      <c r="D2" s="67">
        <v>1</v>
      </c>
      <c r="E2" s="68" t="s">
        <v>307</v>
      </c>
    </row>
    <row r="3" spans="4:5">
      <c r="D3" s="67">
        <v>2</v>
      </c>
      <c r="E3" s="68" t="s">
        <v>308</v>
      </c>
    </row>
    <row r="4" spans="4:5">
      <c r="D4" s="67">
        <v>3</v>
      </c>
      <c r="E4" s="68" t="s">
        <v>326</v>
      </c>
    </row>
    <row r="5" spans="4:5">
      <c r="D5" s="67">
        <v>4</v>
      </c>
      <c r="E5" s="68" t="s">
        <v>309</v>
      </c>
    </row>
    <row r="6" spans="4:5">
      <c r="D6" s="67">
        <v>5</v>
      </c>
      <c r="E6" s="68" t="s">
        <v>310</v>
      </c>
    </row>
    <row r="7" spans="4:5">
      <c r="D7" s="67">
        <v>6</v>
      </c>
      <c r="E7" s="68" t="s">
        <v>311</v>
      </c>
    </row>
    <row r="8" spans="4:5">
      <c r="D8" s="67">
        <v>7</v>
      </c>
      <c r="E8" s="68" t="s">
        <v>312</v>
      </c>
    </row>
    <row r="9" spans="4:5">
      <c r="D9" s="67">
        <v>8</v>
      </c>
      <c r="E9" s="68" t="s">
        <v>313</v>
      </c>
    </row>
    <row r="10" spans="4:5">
      <c r="D10" s="67">
        <v>9</v>
      </c>
      <c r="E10" s="68" t="s">
        <v>314</v>
      </c>
    </row>
    <row r="11" spans="4:5">
      <c r="D11" s="67">
        <v>10</v>
      </c>
      <c r="E11" s="68" t="s">
        <v>315</v>
      </c>
    </row>
    <row r="12" spans="4:5">
      <c r="D12" s="67">
        <v>11</v>
      </c>
      <c r="E12" s="68" t="s">
        <v>316</v>
      </c>
    </row>
    <row r="13" spans="4:5">
      <c r="D13" s="67">
        <v>12</v>
      </c>
      <c r="E13" s="68" t="s">
        <v>317</v>
      </c>
    </row>
    <row r="14" spans="4:5">
      <c r="D14" s="67">
        <v>13</v>
      </c>
      <c r="E14" s="68" t="s">
        <v>318</v>
      </c>
    </row>
    <row r="15" spans="4:5">
      <c r="D15" s="67">
        <v>14</v>
      </c>
      <c r="E15" s="68" t="s">
        <v>319</v>
      </c>
    </row>
    <row r="16" spans="4:5">
      <c r="D16" s="67">
        <v>15</v>
      </c>
      <c r="E16" s="68" t="s">
        <v>320</v>
      </c>
    </row>
    <row r="17" spans="4:5">
      <c r="D17" s="67">
        <v>16</v>
      </c>
      <c r="E17" s="68" t="s">
        <v>321</v>
      </c>
    </row>
    <row r="18" spans="4:5">
      <c r="D18" s="67">
        <v>17</v>
      </c>
      <c r="E18" s="68" t="s">
        <v>322</v>
      </c>
    </row>
    <row r="19" spans="4:5">
      <c r="D19" s="67">
        <v>18</v>
      </c>
      <c r="E19" s="68" t="s">
        <v>323</v>
      </c>
    </row>
    <row r="20" spans="4:5">
      <c r="D20" s="67">
        <v>19</v>
      </c>
      <c r="E20" s="68" t="s">
        <v>324</v>
      </c>
    </row>
    <row r="21" spans="4:5">
      <c r="D21" s="67">
        <v>20</v>
      </c>
      <c r="E21" s="68" t="s">
        <v>325</v>
      </c>
    </row>
    <row r="22" spans="4:5">
      <c r="D22" s="62" t="s">
        <v>127</v>
      </c>
      <c r="E22" s="63" t="s">
        <v>306</v>
      </c>
    </row>
    <row r="23" spans="4:5">
      <c r="D23" s="61">
        <v>1</v>
      </c>
      <c r="E23" s="64" t="s">
        <v>327</v>
      </c>
    </row>
    <row r="24" spans="4:5">
      <c r="D24" s="61">
        <v>2</v>
      </c>
      <c r="E24" s="64" t="s">
        <v>308</v>
      </c>
    </row>
    <row r="25" spans="4:5" ht="28.8">
      <c r="D25" s="61">
        <v>3</v>
      </c>
      <c r="E25" s="64" t="s">
        <v>328</v>
      </c>
    </row>
    <row r="26" spans="4:5">
      <c r="D26" s="61">
        <v>4</v>
      </c>
      <c r="E26" s="64" t="s">
        <v>329</v>
      </c>
    </row>
    <row r="27" spans="4:5">
      <c r="D27" s="61">
        <v>5</v>
      </c>
      <c r="E27" s="64" t="s">
        <v>330</v>
      </c>
    </row>
    <row r="28" spans="4:5" ht="28.8">
      <c r="D28" s="61">
        <v>6</v>
      </c>
      <c r="E28" s="64" t="s">
        <v>331</v>
      </c>
    </row>
    <row r="29" spans="4:5" ht="28.8">
      <c r="D29" s="61">
        <v>7</v>
      </c>
      <c r="E29" s="64" t="s">
        <v>332</v>
      </c>
    </row>
    <row r="30" spans="4:5" ht="28.8">
      <c r="D30" s="61">
        <v>8</v>
      </c>
      <c r="E30" s="64" t="s">
        <v>333</v>
      </c>
    </row>
    <row r="31" spans="4:5">
      <c r="D31" s="61">
        <v>9</v>
      </c>
      <c r="E31" s="64" t="s">
        <v>334</v>
      </c>
    </row>
    <row r="32" spans="4:5" ht="28.8">
      <c r="D32" s="61">
        <v>10</v>
      </c>
      <c r="E32" s="64" t="s">
        <v>335</v>
      </c>
    </row>
    <row r="33" spans="4:5" ht="28.8">
      <c r="D33" s="61">
        <v>11</v>
      </c>
      <c r="E33" s="64" t="s">
        <v>336</v>
      </c>
    </row>
    <row r="34" spans="4:5" ht="28.8">
      <c r="D34" s="61">
        <v>12</v>
      </c>
      <c r="E34" s="64" t="s">
        <v>337</v>
      </c>
    </row>
    <row r="35" spans="4:5" ht="28.8">
      <c r="D35" s="61">
        <v>13</v>
      </c>
      <c r="E35" s="64" t="s">
        <v>338</v>
      </c>
    </row>
    <row r="36" spans="4:5" ht="28.8">
      <c r="D36" s="61">
        <v>14</v>
      </c>
      <c r="E36" s="64" t="s">
        <v>339</v>
      </c>
    </row>
    <row r="37" spans="4:5">
      <c r="D37" s="61">
        <v>15</v>
      </c>
      <c r="E37" s="64" t="s">
        <v>340</v>
      </c>
    </row>
    <row r="38" spans="4:5">
      <c r="D38" s="61">
        <v>16</v>
      </c>
      <c r="E38" s="64" t="s">
        <v>341</v>
      </c>
    </row>
    <row r="39" spans="4:5" ht="28.8">
      <c r="D39" s="61">
        <v>17</v>
      </c>
      <c r="E39" s="64" t="s">
        <v>342</v>
      </c>
    </row>
    <row r="40" spans="4:5" ht="28.8">
      <c r="D40" s="61">
        <v>18</v>
      </c>
      <c r="E40" s="64" t="s">
        <v>343</v>
      </c>
    </row>
    <row r="41" spans="4:5" ht="28.8">
      <c r="D41" s="61">
        <v>19</v>
      </c>
      <c r="E41" s="64" t="s">
        <v>344</v>
      </c>
    </row>
    <row r="42" spans="4:5" ht="28.8">
      <c r="D42" s="61">
        <v>20</v>
      </c>
      <c r="E42" s="64" t="s">
        <v>345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F1426-CDF9-4690-8A47-A6C82FD8B020}">
  <dimension ref="A1:A16"/>
  <sheetViews>
    <sheetView workbookViewId="0">
      <selection activeCell="H21" sqref="H21"/>
    </sheetView>
  </sheetViews>
  <sheetFormatPr defaultRowHeight="14.4"/>
  <sheetData>
    <row r="1" spans="1:1">
      <c r="A1" t="s">
        <v>361</v>
      </c>
    </row>
    <row r="2" spans="1:1">
      <c r="A2" t="s">
        <v>351</v>
      </c>
    </row>
    <row r="3" spans="1:1">
      <c r="A3" t="s">
        <v>350</v>
      </c>
    </row>
    <row r="4" spans="1:1">
      <c r="A4" s="69" t="s">
        <v>346</v>
      </c>
    </row>
    <row r="5" spans="1:1">
      <c r="A5" s="69" t="s">
        <v>347</v>
      </c>
    </row>
    <row r="6" spans="1:1">
      <c r="A6" s="69" t="s">
        <v>348</v>
      </c>
    </row>
    <row r="7" spans="1:1">
      <c r="A7" s="69" t="s">
        <v>349</v>
      </c>
    </row>
    <row r="8" spans="1:1">
      <c r="A8" s="69" t="s">
        <v>352</v>
      </c>
    </row>
    <row r="9" spans="1:1">
      <c r="A9" t="s">
        <v>353</v>
      </c>
    </row>
    <row r="10" spans="1:1">
      <c r="A10" t="s">
        <v>354</v>
      </c>
    </row>
    <row r="11" spans="1:1">
      <c r="A11" t="s">
        <v>355</v>
      </c>
    </row>
    <row r="12" spans="1:1">
      <c r="A12" t="s">
        <v>356</v>
      </c>
    </row>
    <row r="13" spans="1:1">
      <c r="A13" t="s">
        <v>357</v>
      </c>
    </row>
    <row r="14" spans="1:1">
      <c r="A14" t="s">
        <v>358</v>
      </c>
    </row>
    <row r="15" spans="1:1">
      <c r="A15" t="s">
        <v>359</v>
      </c>
    </row>
    <row r="16" spans="1:1">
      <c r="A16" t="s">
        <v>360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ABD7-2E67-45E2-9B5E-8F490A7975C9}">
  <dimension ref="A1:AA10"/>
  <sheetViews>
    <sheetView workbookViewId="0">
      <selection activeCell="I8" sqref="I8"/>
    </sheetView>
  </sheetViews>
  <sheetFormatPr defaultRowHeight="14.4"/>
  <cols>
    <col min="7" max="7" width="13.5546875" customWidth="1"/>
  </cols>
  <sheetData>
    <row r="1" spans="1:27" ht="15">
      <c r="A1" s="2" t="s">
        <v>0</v>
      </c>
      <c r="B1" s="3" t="s">
        <v>9</v>
      </c>
      <c r="F1" t="s">
        <v>479</v>
      </c>
      <c r="G1" s="75" t="s">
        <v>480</v>
      </c>
      <c r="H1" s="75" t="s">
        <v>481</v>
      </c>
      <c r="I1" s="75" t="s">
        <v>482</v>
      </c>
      <c r="J1" s="75"/>
      <c r="K1" s="75"/>
      <c r="L1" s="75"/>
      <c r="M1" s="75"/>
      <c r="N1" s="75"/>
      <c r="O1" s="75"/>
      <c r="P1" s="75"/>
      <c r="Q1" s="75"/>
      <c r="R1" s="75"/>
      <c r="S1" s="75"/>
      <c r="T1" s="75"/>
      <c r="U1" s="75"/>
      <c r="V1" s="75"/>
      <c r="W1" s="75"/>
      <c r="X1" s="75"/>
      <c r="Y1" s="75"/>
    </row>
    <row r="2" spans="1:27" ht="30">
      <c r="A2" s="2" t="s">
        <v>110</v>
      </c>
      <c r="B2" s="3" t="s">
        <v>111</v>
      </c>
      <c r="F2" t="s">
        <v>483</v>
      </c>
      <c r="G2" s="3" t="s">
        <v>498</v>
      </c>
      <c r="H2" s="3" t="s">
        <v>484</v>
      </c>
      <c r="I2" t="s">
        <v>506</v>
      </c>
      <c r="Q2" s="3"/>
    </row>
    <row r="3" spans="1:27" ht="30">
      <c r="A3" s="2" t="s">
        <v>10</v>
      </c>
      <c r="B3" s="3" t="s">
        <v>17</v>
      </c>
      <c r="F3" t="s">
        <v>484</v>
      </c>
      <c r="G3" s="3"/>
      <c r="H3" s="3"/>
      <c r="J3" s="3"/>
      <c r="K3" s="3"/>
      <c r="L3" s="3"/>
      <c r="M3" s="3"/>
      <c r="O3" s="3"/>
      <c r="Q3" s="3"/>
    </row>
    <row r="4" spans="1:27" ht="30">
      <c r="A4" s="2" t="s">
        <v>11</v>
      </c>
      <c r="B4" s="3" t="s">
        <v>18</v>
      </c>
      <c r="F4" t="s">
        <v>499</v>
      </c>
      <c r="G4" s="3"/>
      <c r="H4" s="3"/>
      <c r="K4" s="3"/>
      <c r="L4" s="3"/>
      <c r="M4" s="3"/>
      <c r="N4" s="3"/>
      <c r="O4" s="3"/>
      <c r="Q4" s="3"/>
    </row>
    <row r="5" spans="1:27" ht="30">
      <c r="A5" s="2" t="s">
        <v>12</v>
      </c>
      <c r="B5" s="3" t="s">
        <v>19</v>
      </c>
      <c r="F5" t="s">
        <v>500</v>
      </c>
      <c r="G5" s="3"/>
      <c r="H5" s="3"/>
      <c r="J5" s="3"/>
      <c r="K5" s="3"/>
      <c r="L5" s="3"/>
      <c r="M5" s="3"/>
      <c r="N5" s="3"/>
      <c r="O5" s="3"/>
      <c r="Q5" s="3"/>
    </row>
    <row r="6" spans="1:27" ht="30">
      <c r="A6" s="2" t="s">
        <v>13</v>
      </c>
      <c r="B6" s="3" t="s">
        <v>20</v>
      </c>
      <c r="F6" t="s">
        <v>501</v>
      </c>
      <c r="G6" s="3"/>
      <c r="H6" s="3"/>
      <c r="J6" s="3"/>
      <c r="K6" s="3"/>
      <c r="L6" s="3"/>
      <c r="M6" s="3"/>
      <c r="N6" s="3"/>
      <c r="O6" s="3"/>
      <c r="Q6" s="3"/>
    </row>
    <row r="7" spans="1:27" ht="30">
      <c r="A7" s="2" t="s">
        <v>14</v>
      </c>
      <c r="B7" s="3" t="s">
        <v>21</v>
      </c>
      <c r="F7" t="s">
        <v>502</v>
      </c>
      <c r="G7" s="74"/>
      <c r="H7" s="74"/>
      <c r="I7" s="74"/>
      <c r="J7" s="74"/>
      <c r="K7" s="74"/>
      <c r="L7" s="74"/>
      <c r="M7" s="74"/>
      <c r="N7" s="74"/>
      <c r="O7" s="74"/>
      <c r="P7" s="74"/>
      <c r="R7" s="3"/>
      <c r="S7" s="3"/>
      <c r="T7" s="3"/>
      <c r="V7" s="3"/>
      <c r="W7" s="3"/>
      <c r="Y7" s="3"/>
      <c r="AA7" s="3"/>
    </row>
    <row r="8" spans="1:27" ht="30">
      <c r="A8" s="2" t="s">
        <v>15</v>
      </c>
      <c r="B8" s="3" t="s">
        <v>22</v>
      </c>
      <c r="F8" t="s">
        <v>503</v>
      </c>
      <c r="G8" s="74"/>
      <c r="H8" s="74"/>
      <c r="I8" s="74"/>
      <c r="J8" s="74"/>
      <c r="K8" s="74"/>
      <c r="L8" s="74"/>
      <c r="M8" s="74"/>
      <c r="N8" s="74"/>
      <c r="O8" s="74"/>
      <c r="P8" s="74"/>
      <c r="R8" s="3"/>
      <c r="S8" s="3"/>
      <c r="T8" s="3"/>
      <c r="V8" s="3"/>
      <c r="W8" s="3"/>
      <c r="Y8" s="3"/>
      <c r="AA8" s="3"/>
    </row>
    <row r="9" spans="1:27" ht="30">
      <c r="A9" s="2" t="s">
        <v>16</v>
      </c>
      <c r="B9" s="3" t="s">
        <v>23</v>
      </c>
      <c r="F9" t="s">
        <v>504</v>
      </c>
      <c r="G9" s="74"/>
      <c r="H9" s="74"/>
      <c r="I9" s="74"/>
      <c r="J9" s="74"/>
      <c r="K9" s="74"/>
      <c r="L9" s="74"/>
      <c r="M9" s="74"/>
      <c r="N9" s="74"/>
      <c r="O9" s="74"/>
      <c r="P9" s="74"/>
      <c r="R9" s="3"/>
      <c r="T9" s="3"/>
    </row>
    <row r="10" spans="1:27" ht="30">
      <c r="A10" s="2" t="s">
        <v>80</v>
      </c>
      <c r="B10" s="3" t="s">
        <v>81</v>
      </c>
      <c r="F10" t="s">
        <v>505</v>
      </c>
      <c r="G10" s="74"/>
      <c r="H10" s="74"/>
      <c r="I10" s="74"/>
      <c r="J10" s="74"/>
      <c r="K10" s="74"/>
      <c r="L10" s="74"/>
      <c r="M10" s="74"/>
      <c r="N10" s="74"/>
      <c r="O10" s="74"/>
      <c r="P10" s="7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E2950-E633-477C-A208-062B48747C1A}">
  <dimension ref="A1:E12"/>
  <sheetViews>
    <sheetView workbookViewId="0">
      <selection activeCell="C14" sqref="C14"/>
    </sheetView>
  </sheetViews>
  <sheetFormatPr defaultColWidth="44.109375" defaultRowHeight="14.4"/>
  <cols>
    <col min="1" max="1" width="22.88671875" bestFit="1" customWidth="1"/>
    <col min="2" max="2" width="75.5546875" customWidth="1"/>
  </cols>
  <sheetData>
    <row r="1" spans="1:5">
      <c r="A1" s="70" t="s">
        <v>485</v>
      </c>
      <c r="B1" s="70" t="s">
        <v>486</v>
      </c>
      <c r="C1" s="70" t="s">
        <v>487</v>
      </c>
      <c r="D1" s="70" t="s">
        <v>508</v>
      </c>
      <c r="E1" s="70" t="s">
        <v>509</v>
      </c>
    </row>
    <row r="2" spans="1:5">
      <c r="A2" s="41" t="s">
        <v>362</v>
      </c>
      <c r="B2" s="72" t="s">
        <v>363</v>
      </c>
      <c r="C2" t="s">
        <v>475</v>
      </c>
      <c r="D2" t="s">
        <v>511</v>
      </c>
      <c r="E2" t="s">
        <v>522</v>
      </c>
    </row>
    <row r="3" spans="1:5">
      <c r="A3" s="41" t="s">
        <v>362</v>
      </c>
      <c r="B3" s="72" t="s">
        <v>364</v>
      </c>
      <c r="C3" t="s">
        <v>466</v>
      </c>
      <c r="D3" t="s">
        <v>512</v>
      </c>
      <c r="E3" t="s">
        <v>523</v>
      </c>
    </row>
    <row r="4" spans="1:5">
      <c r="A4" s="41" t="s">
        <v>362</v>
      </c>
      <c r="B4" s="72" t="s">
        <v>365</v>
      </c>
      <c r="C4" t="s">
        <v>467</v>
      </c>
      <c r="D4" t="s">
        <v>513</v>
      </c>
      <c r="E4" t="s">
        <v>524</v>
      </c>
    </row>
    <row r="5" spans="1:5">
      <c r="A5" s="41" t="s">
        <v>362</v>
      </c>
      <c r="B5" s="72" t="s">
        <v>366</v>
      </c>
      <c r="C5" t="s">
        <v>476</v>
      </c>
      <c r="D5" t="s">
        <v>514</v>
      </c>
      <c r="E5" t="s">
        <v>525</v>
      </c>
    </row>
    <row r="6" spans="1:5">
      <c r="A6" s="41" t="s">
        <v>362</v>
      </c>
      <c r="B6" s="72" t="s">
        <v>367</v>
      </c>
      <c r="C6" t="s">
        <v>468</v>
      </c>
      <c r="D6" t="s">
        <v>515</v>
      </c>
      <c r="E6" t="s">
        <v>526</v>
      </c>
    </row>
    <row r="7" spans="1:5">
      <c r="A7" s="41" t="s">
        <v>362</v>
      </c>
      <c r="B7" s="72" t="s">
        <v>368</v>
      </c>
      <c r="C7" t="s">
        <v>469</v>
      </c>
      <c r="D7" t="s">
        <v>516</v>
      </c>
      <c r="E7" t="s">
        <v>527</v>
      </c>
    </row>
    <row r="8" spans="1:5">
      <c r="A8" s="41" t="s">
        <v>362</v>
      </c>
      <c r="B8" s="72" t="s">
        <v>369</v>
      </c>
      <c r="C8" t="s">
        <v>470</v>
      </c>
      <c r="D8" t="s">
        <v>517</v>
      </c>
      <c r="E8" t="s">
        <v>528</v>
      </c>
    </row>
    <row r="9" spans="1:5">
      <c r="A9" s="41" t="s">
        <v>362</v>
      </c>
      <c r="B9" s="72" t="s">
        <v>370</v>
      </c>
      <c r="C9" t="s">
        <v>471</v>
      </c>
      <c r="D9" t="s">
        <v>518</v>
      </c>
      <c r="E9" t="s">
        <v>529</v>
      </c>
    </row>
    <row r="10" spans="1:5">
      <c r="A10" s="41" t="s">
        <v>362</v>
      </c>
      <c r="B10" s="72" t="s">
        <v>371</v>
      </c>
      <c r="C10" t="s">
        <v>472</v>
      </c>
      <c r="D10" t="s">
        <v>519</v>
      </c>
      <c r="E10" t="s">
        <v>530</v>
      </c>
    </row>
    <row r="11" spans="1:5">
      <c r="A11" s="41" t="s">
        <v>362</v>
      </c>
      <c r="B11" s="72" t="s">
        <v>372</v>
      </c>
      <c r="C11" t="s">
        <v>473</v>
      </c>
      <c r="D11" t="s">
        <v>520</v>
      </c>
      <c r="E11" t="s">
        <v>531</v>
      </c>
    </row>
    <row r="12" spans="1:5">
      <c r="A12" s="41" t="s">
        <v>362</v>
      </c>
      <c r="B12" s="72" t="s">
        <v>373</v>
      </c>
      <c r="C12" t="s">
        <v>474</v>
      </c>
      <c r="D12" t="s">
        <v>521</v>
      </c>
      <c r="E12" t="s">
        <v>532</v>
      </c>
    </row>
  </sheetData>
  <phoneticPr fontId="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ACCD1-9300-4412-A8A8-1C62165F33DC}">
  <dimension ref="A1:W88"/>
  <sheetViews>
    <sheetView workbookViewId="0">
      <selection activeCell="B2" sqref="B2"/>
    </sheetView>
  </sheetViews>
  <sheetFormatPr defaultRowHeight="14.4"/>
  <cols>
    <col min="1" max="1" width="16.33203125" customWidth="1"/>
    <col min="2" max="2" width="36.109375" customWidth="1"/>
    <col min="3" max="3" width="33.77734375" bestFit="1" customWidth="1"/>
    <col min="5" max="5" width="13.6640625" customWidth="1"/>
    <col min="7" max="7" width="12.33203125" customWidth="1"/>
  </cols>
  <sheetData>
    <row r="1" spans="1:23" ht="30.6">
      <c r="A1" s="54" t="s">
        <v>0</v>
      </c>
      <c r="B1" s="54" t="s">
        <v>237</v>
      </c>
      <c r="C1" s="54" t="s">
        <v>233</v>
      </c>
      <c r="D1" s="54" t="s">
        <v>230</v>
      </c>
      <c r="E1" s="54" t="s">
        <v>241</v>
      </c>
      <c r="F1" s="54" t="s">
        <v>231</v>
      </c>
      <c r="G1" s="54" t="s">
        <v>259</v>
      </c>
      <c r="H1" s="54" t="s">
        <v>258</v>
      </c>
      <c r="I1" s="54" t="s">
        <v>271</v>
      </c>
      <c r="J1" s="54" t="s">
        <v>273</v>
      </c>
      <c r="K1" s="32"/>
      <c r="L1" s="32"/>
      <c r="M1" s="32"/>
      <c r="N1" s="32"/>
      <c r="O1" s="32"/>
      <c r="P1" s="32"/>
      <c r="Q1" s="32"/>
      <c r="R1" s="32"/>
      <c r="T1" s="32"/>
      <c r="U1" s="32"/>
      <c r="V1" s="32"/>
      <c r="W1" s="32"/>
    </row>
    <row r="2" spans="1:23" ht="18">
      <c r="A2" s="54" t="s">
        <v>260</v>
      </c>
      <c r="B2" s="70" t="s">
        <v>508</v>
      </c>
      <c r="C2" s="54"/>
      <c r="D2" s="54"/>
      <c r="E2" s="54"/>
      <c r="F2" s="54">
        <v>1</v>
      </c>
      <c r="G2" s="70" t="s">
        <v>487</v>
      </c>
      <c r="H2" s="54"/>
      <c r="I2" t="s">
        <v>477</v>
      </c>
      <c r="J2" t="s">
        <v>478</v>
      </c>
      <c r="L2" s="32"/>
      <c r="M2" s="32"/>
      <c r="N2" s="32"/>
      <c r="P2" s="73"/>
      <c r="Q2" s="73"/>
      <c r="R2" s="32"/>
    </row>
    <row r="3" spans="1:23" ht="18">
      <c r="A3" s="54" t="s">
        <v>109</v>
      </c>
      <c r="B3" s="70" t="s">
        <v>508</v>
      </c>
      <c r="C3" s="51" t="s">
        <v>281</v>
      </c>
      <c r="D3" s="51">
        <v>0</v>
      </c>
      <c r="E3" s="54"/>
      <c r="F3" s="54">
        <v>4</v>
      </c>
      <c r="L3" s="32"/>
      <c r="M3" s="32"/>
      <c r="N3" s="32"/>
      <c r="O3" s="3"/>
      <c r="Q3" s="73"/>
      <c r="R3" s="32"/>
    </row>
    <row r="4" spans="1:23" ht="18">
      <c r="A4" s="54" t="s">
        <v>109</v>
      </c>
      <c r="B4" s="70" t="s">
        <v>509</v>
      </c>
      <c r="C4" s="51" t="s">
        <v>281</v>
      </c>
      <c r="D4" s="51">
        <v>0</v>
      </c>
      <c r="E4" s="54"/>
      <c r="F4" s="54">
        <v>4</v>
      </c>
      <c r="L4" s="32"/>
      <c r="M4" s="32"/>
      <c r="N4" s="32"/>
      <c r="T4" s="32"/>
      <c r="U4" s="32"/>
      <c r="V4" s="32"/>
    </row>
    <row r="5" spans="1:23" ht="18">
      <c r="A5" s="54" t="s">
        <v>232</v>
      </c>
      <c r="C5" s="51"/>
      <c r="D5" s="51"/>
      <c r="E5" s="54"/>
      <c r="F5" s="54"/>
      <c r="L5" s="32"/>
      <c r="M5" s="32"/>
      <c r="N5" s="32"/>
      <c r="T5" s="32"/>
      <c r="U5" s="32"/>
      <c r="V5" s="32"/>
    </row>
    <row r="6" spans="1:23" ht="18">
      <c r="A6" s="54" t="s">
        <v>232</v>
      </c>
      <c r="B6" s="54"/>
      <c r="C6" s="54"/>
      <c r="D6" s="54"/>
      <c r="E6" s="54"/>
      <c r="L6" s="32"/>
      <c r="M6" s="32"/>
      <c r="N6" s="32"/>
      <c r="O6" s="40"/>
      <c r="T6" s="32"/>
      <c r="U6" s="32"/>
      <c r="V6" s="32"/>
    </row>
    <row r="7" spans="1:23" ht="30.6">
      <c r="A7" s="54" t="s">
        <v>232</v>
      </c>
      <c r="B7" s="55"/>
      <c r="C7" s="54"/>
      <c r="D7" s="54"/>
      <c r="E7" s="54"/>
      <c r="H7" s="56"/>
      <c r="L7" s="32"/>
      <c r="M7" s="32"/>
      <c r="N7" s="32"/>
      <c r="O7" s="40"/>
      <c r="T7" s="32"/>
      <c r="U7" s="32"/>
      <c r="V7" s="32"/>
    </row>
    <row r="8" spans="1:23" ht="18">
      <c r="A8" s="54" t="s">
        <v>232</v>
      </c>
      <c r="B8" s="54"/>
      <c r="C8" s="54"/>
      <c r="D8" s="54"/>
      <c r="E8" s="54"/>
      <c r="L8" s="32"/>
      <c r="M8" s="32"/>
      <c r="N8" s="32"/>
      <c r="O8" s="40"/>
      <c r="T8" s="32"/>
      <c r="U8" s="32"/>
      <c r="V8" s="32"/>
    </row>
    <row r="9" spans="1:23" ht="18">
      <c r="A9" s="54" t="s">
        <v>232</v>
      </c>
      <c r="B9" s="54"/>
      <c r="C9" s="54"/>
      <c r="D9" s="54"/>
      <c r="E9" s="54"/>
      <c r="L9" s="32"/>
      <c r="M9" s="32"/>
      <c r="N9" s="32"/>
      <c r="O9" s="40"/>
      <c r="T9" s="32"/>
      <c r="U9" s="32"/>
      <c r="V9" s="32"/>
    </row>
    <row r="10" spans="1:23" ht="18">
      <c r="A10" s="54" t="s">
        <v>232</v>
      </c>
      <c r="B10" s="54"/>
      <c r="C10" s="54"/>
      <c r="D10" s="54"/>
      <c r="L10" s="32"/>
      <c r="M10" s="32"/>
      <c r="N10" s="32"/>
      <c r="O10" s="40"/>
      <c r="T10" s="32"/>
      <c r="U10" s="32"/>
      <c r="V10" s="32"/>
    </row>
    <row r="11" spans="1:23" ht="18">
      <c r="A11" s="54" t="s">
        <v>232</v>
      </c>
      <c r="B11" s="54"/>
      <c r="C11" s="54"/>
      <c r="D11" s="54"/>
      <c r="L11" s="32"/>
      <c r="M11" s="32"/>
      <c r="N11" s="32"/>
      <c r="O11" s="3"/>
      <c r="T11" s="32"/>
      <c r="U11" s="32"/>
      <c r="V11" s="32"/>
    </row>
    <row r="12" spans="1:23" ht="18">
      <c r="B12" s="3"/>
      <c r="C12" s="3"/>
      <c r="F12" s="3"/>
      <c r="H12" s="74"/>
      <c r="I12" s="74"/>
      <c r="J12" s="74"/>
      <c r="L12" s="32"/>
      <c r="M12" s="32"/>
      <c r="N12" s="32"/>
      <c r="O12" s="3"/>
      <c r="T12" s="32"/>
      <c r="U12" s="32"/>
      <c r="V12" s="32"/>
    </row>
    <row r="13" spans="1:23" ht="18">
      <c r="B13" s="3"/>
      <c r="C13" s="3"/>
      <c r="F13" s="3"/>
      <c r="H13" s="74"/>
      <c r="I13" s="74"/>
      <c r="J13" s="74"/>
      <c r="O13" s="3"/>
      <c r="T13" s="32"/>
      <c r="U13" s="32"/>
      <c r="V13" s="32"/>
    </row>
    <row r="14" spans="1:23" ht="18">
      <c r="B14" s="3"/>
      <c r="C14" s="3"/>
      <c r="F14" s="32"/>
      <c r="O14" s="32"/>
      <c r="T14" s="32"/>
      <c r="U14" s="32"/>
      <c r="V14" s="32"/>
    </row>
    <row r="15" spans="1:23" ht="18">
      <c r="F15" s="32"/>
      <c r="O15" s="32"/>
      <c r="T15" s="32"/>
      <c r="U15" s="32"/>
      <c r="V15" s="32"/>
    </row>
    <row r="16" spans="1:23" ht="18">
      <c r="F16" s="32"/>
      <c r="H16" s="74"/>
      <c r="I16" s="74"/>
      <c r="O16" s="32"/>
      <c r="T16" s="32"/>
      <c r="U16" s="32"/>
      <c r="V16" s="32"/>
    </row>
    <row r="17" spans="2:22" ht="18">
      <c r="B17" s="74"/>
      <c r="C17" s="74"/>
      <c r="D17" s="74"/>
      <c r="F17" s="32"/>
      <c r="H17" s="74"/>
      <c r="I17" s="74"/>
      <c r="O17" s="32"/>
      <c r="T17" s="32"/>
      <c r="U17" s="32"/>
      <c r="V17" s="32"/>
    </row>
    <row r="18" spans="2:22" ht="18">
      <c r="B18" s="74"/>
      <c r="C18" s="74"/>
      <c r="D18" s="74"/>
      <c r="F18" s="32"/>
      <c r="H18" s="74"/>
      <c r="I18" s="74"/>
      <c r="O18" s="32"/>
      <c r="U18" s="32"/>
      <c r="V18" s="32"/>
    </row>
    <row r="19" spans="2:22" ht="18">
      <c r="B19" s="74"/>
      <c r="C19" s="74"/>
      <c r="D19" s="74"/>
      <c r="F19" s="32"/>
      <c r="H19" s="74"/>
      <c r="I19" s="74"/>
      <c r="O19" s="32"/>
      <c r="U19" s="32"/>
      <c r="V19" s="32"/>
    </row>
    <row r="20" spans="2:22" ht="18">
      <c r="B20" s="74"/>
      <c r="C20" s="74"/>
      <c r="D20" s="74"/>
      <c r="F20" s="32"/>
      <c r="H20" s="74"/>
      <c r="I20" s="74"/>
      <c r="O20" s="32"/>
      <c r="U20" s="32"/>
      <c r="V20" s="32"/>
    </row>
    <row r="21" spans="2:22" ht="18">
      <c r="B21" s="74"/>
      <c r="C21" s="74"/>
      <c r="D21" s="74"/>
      <c r="F21" s="32"/>
      <c r="H21" s="74"/>
      <c r="I21" s="74"/>
      <c r="O21" s="32"/>
      <c r="U21" s="32"/>
      <c r="V21" s="32"/>
    </row>
    <row r="22" spans="2:22" ht="18">
      <c r="B22" s="74"/>
      <c r="C22" s="74"/>
      <c r="D22" s="74"/>
      <c r="F22" s="32"/>
      <c r="H22" s="74"/>
      <c r="I22" s="74"/>
      <c r="O22" s="32"/>
      <c r="U22" s="32"/>
      <c r="V22" s="32"/>
    </row>
    <row r="23" spans="2:22" ht="18">
      <c r="B23" s="74"/>
      <c r="C23" s="74"/>
      <c r="D23" s="74"/>
      <c r="F23" s="32"/>
      <c r="H23" s="74"/>
      <c r="I23" s="74"/>
      <c r="O23" s="32"/>
      <c r="U23" s="32"/>
      <c r="V23" s="32"/>
    </row>
    <row r="24" spans="2:22" ht="18">
      <c r="B24" s="74"/>
      <c r="C24" s="74"/>
      <c r="D24" s="74"/>
      <c r="F24" s="32"/>
      <c r="H24" s="74"/>
      <c r="I24" s="74"/>
      <c r="O24" s="32"/>
      <c r="U24" s="32"/>
      <c r="V24" s="32"/>
    </row>
    <row r="25" spans="2:22" ht="18">
      <c r="B25" s="74"/>
      <c r="C25" s="74"/>
      <c r="D25" s="74"/>
      <c r="F25" s="32"/>
      <c r="H25" s="74"/>
      <c r="I25" s="74"/>
      <c r="O25" s="32"/>
      <c r="U25" s="32"/>
      <c r="V25" s="32"/>
    </row>
    <row r="26" spans="2:22" ht="18">
      <c r="B26" s="74"/>
      <c r="C26" s="74"/>
      <c r="D26" s="74"/>
      <c r="H26" s="74"/>
      <c r="I26" s="74"/>
      <c r="U26" s="32"/>
      <c r="V26" s="32"/>
    </row>
    <row r="27" spans="2:22" ht="18">
      <c r="H27" s="74"/>
      <c r="I27" s="74"/>
      <c r="U27" s="32"/>
      <c r="V27" s="32"/>
    </row>
    <row r="28" spans="2:22" ht="18">
      <c r="H28" s="74"/>
      <c r="I28" s="74"/>
      <c r="U28" s="32"/>
      <c r="V28" s="32"/>
    </row>
    <row r="29" spans="2:22">
      <c r="B29" s="74"/>
      <c r="C29" s="74"/>
      <c r="H29" s="74"/>
      <c r="I29" s="74"/>
    </row>
    <row r="30" spans="2:22">
      <c r="B30" s="74"/>
      <c r="C30" s="74"/>
      <c r="H30" s="74"/>
      <c r="I30" s="74"/>
    </row>
    <row r="31" spans="2:22">
      <c r="B31" s="74"/>
      <c r="C31" s="74"/>
      <c r="H31" s="74"/>
      <c r="I31" s="74"/>
    </row>
    <row r="32" spans="2:22">
      <c r="B32" s="74"/>
      <c r="C32" s="74"/>
      <c r="H32" s="74"/>
      <c r="I32" s="74"/>
    </row>
    <row r="33" spans="2:22" ht="18">
      <c r="B33" s="74"/>
      <c r="C33" s="74"/>
      <c r="H33" s="74"/>
      <c r="I33" s="74"/>
      <c r="U33" s="32"/>
      <c r="V33" s="32"/>
    </row>
    <row r="34" spans="2:22" ht="18">
      <c r="B34" s="74"/>
      <c r="C34" s="74"/>
      <c r="H34" s="74"/>
      <c r="I34" s="74"/>
      <c r="U34" s="32"/>
      <c r="V34" s="32"/>
    </row>
    <row r="35" spans="2:22" ht="18">
      <c r="B35" s="74"/>
      <c r="C35" s="74"/>
      <c r="H35" s="74"/>
      <c r="I35" s="74"/>
      <c r="U35" s="32"/>
      <c r="V35" s="32"/>
    </row>
    <row r="36" spans="2:22" ht="18">
      <c r="B36" s="74"/>
      <c r="C36" s="74"/>
      <c r="U36" s="32"/>
      <c r="V36" s="32"/>
    </row>
    <row r="37" spans="2:22" ht="18">
      <c r="B37" s="74"/>
      <c r="C37" s="74"/>
      <c r="H37" s="74"/>
      <c r="I37" s="74"/>
      <c r="J37" s="74"/>
      <c r="K37" s="74"/>
      <c r="U37" s="32"/>
      <c r="V37" s="32"/>
    </row>
    <row r="38" spans="2:22" ht="18">
      <c r="B38" s="74"/>
      <c r="C38" s="74"/>
      <c r="H38" s="74"/>
      <c r="I38" s="74"/>
      <c r="J38" s="74"/>
      <c r="K38" s="74"/>
      <c r="U38" s="32"/>
      <c r="V38" s="32"/>
    </row>
    <row r="39" spans="2:22" ht="18">
      <c r="B39" s="74"/>
      <c r="C39" s="74"/>
      <c r="H39" s="74"/>
      <c r="I39" s="74"/>
      <c r="J39" s="74"/>
      <c r="K39" s="74"/>
      <c r="U39" s="32"/>
      <c r="V39" s="32"/>
    </row>
    <row r="40" spans="2:22" ht="18">
      <c r="B40" s="74"/>
      <c r="C40" s="74"/>
      <c r="H40" s="74"/>
      <c r="I40" s="74"/>
      <c r="J40" s="74"/>
      <c r="K40" s="74"/>
      <c r="U40" s="32"/>
      <c r="V40" s="32"/>
    </row>
    <row r="41" spans="2:22" ht="18">
      <c r="B41" s="74"/>
      <c r="C41" s="74"/>
      <c r="H41" s="74"/>
      <c r="I41" s="74"/>
      <c r="J41" s="74"/>
      <c r="K41" s="74"/>
      <c r="U41" s="32"/>
      <c r="V41" s="32"/>
    </row>
    <row r="42" spans="2:22" ht="18">
      <c r="B42" s="74"/>
      <c r="C42" s="74"/>
      <c r="U42" s="32"/>
      <c r="V42" s="32"/>
    </row>
    <row r="43" spans="2:22" ht="18">
      <c r="B43" s="74"/>
      <c r="C43" s="74"/>
      <c r="U43" s="32"/>
      <c r="V43" s="32"/>
    </row>
    <row r="44" spans="2:22" ht="18">
      <c r="B44" s="74"/>
      <c r="C44" s="74"/>
      <c r="H44" s="74"/>
      <c r="I44" s="74"/>
      <c r="J44" s="74"/>
      <c r="K44" s="74"/>
      <c r="U44" s="32"/>
      <c r="V44" s="32"/>
    </row>
    <row r="45" spans="2:22" ht="18">
      <c r="B45" s="74"/>
      <c r="C45" s="74"/>
      <c r="H45" s="74"/>
      <c r="I45" s="74"/>
      <c r="J45" s="74"/>
      <c r="K45" s="74"/>
      <c r="U45" s="32"/>
      <c r="V45" s="32"/>
    </row>
    <row r="46" spans="2:22" ht="18">
      <c r="B46" s="74"/>
      <c r="C46" s="74"/>
      <c r="H46" s="74"/>
      <c r="I46" s="74"/>
      <c r="J46" s="74"/>
      <c r="K46" s="74"/>
      <c r="U46" s="32"/>
      <c r="V46" s="32"/>
    </row>
    <row r="47" spans="2:22" ht="18">
      <c r="B47" s="74"/>
      <c r="C47" s="74"/>
      <c r="H47" s="74"/>
      <c r="I47" s="74"/>
      <c r="J47" s="74"/>
      <c r="K47" s="74"/>
      <c r="U47" s="32"/>
      <c r="V47" s="32"/>
    </row>
    <row r="48" spans="2:22" ht="18">
      <c r="B48" s="74"/>
      <c r="C48" s="74"/>
      <c r="H48" s="74"/>
      <c r="I48" s="74"/>
      <c r="J48" s="74"/>
      <c r="K48" s="74"/>
      <c r="U48" s="32"/>
      <c r="V48" s="32"/>
    </row>
    <row r="49" spans="2:22" ht="18">
      <c r="H49" s="74"/>
      <c r="I49" s="74"/>
      <c r="J49" s="74"/>
      <c r="K49" s="74"/>
      <c r="T49" s="32"/>
      <c r="U49" s="32"/>
      <c r="V49" s="32"/>
    </row>
    <row r="50" spans="2:22" ht="18">
      <c r="B50" s="74"/>
      <c r="C50" s="74"/>
      <c r="D50" s="74"/>
      <c r="E50" s="74"/>
      <c r="H50" s="74"/>
      <c r="I50" s="74"/>
      <c r="J50" s="74"/>
      <c r="K50" s="74"/>
      <c r="T50" s="32"/>
      <c r="U50" s="32"/>
      <c r="V50" s="32"/>
    </row>
    <row r="51" spans="2:22" ht="18">
      <c r="B51" s="74"/>
      <c r="C51" s="74"/>
      <c r="D51" s="74"/>
      <c r="E51" s="74"/>
      <c r="H51" s="74"/>
      <c r="I51" s="74"/>
      <c r="J51" s="74"/>
      <c r="K51" s="74"/>
      <c r="T51" s="32"/>
      <c r="U51" s="32"/>
      <c r="V51" s="32"/>
    </row>
    <row r="52" spans="2:22" ht="18">
      <c r="B52" s="74"/>
      <c r="C52" s="74"/>
      <c r="D52" s="74"/>
      <c r="E52" s="74"/>
      <c r="H52" s="74"/>
      <c r="I52" s="74"/>
      <c r="J52" s="74"/>
      <c r="K52" s="74"/>
      <c r="T52" s="32"/>
      <c r="U52" s="32"/>
      <c r="V52" s="32"/>
    </row>
    <row r="53" spans="2:22" ht="18">
      <c r="B53" s="74"/>
      <c r="C53" s="74"/>
      <c r="D53" s="74"/>
      <c r="E53" s="74"/>
      <c r="H53" s="74"/>
      <c r="I53" s="74"/>
      <c r="J53" s="74"/>
      <c r="K53" s="74"/>
      <c r="T53" s="32"/>
      <c r="U53" s="32"/>
      <c r="V53" s="32"/>
    </row>
    <row r="54" spans="2:22" ht="18">
      <c r="B54" s="74"/>
      <c r="C54" s="74"/>
      <c r="D54" s="74"/>
      <c r="E54" s="74"/>
      <c r="H54" s="74"/>
      <c r="I54" s="74"/>
      <c r="J54" s="74"/>
      <c r="K54" s="74"/>
      <c r="T54" s="32"/>
      <c r="U54" s="32"/>
      <c r="V54" s="32"/>
    </row>
    <row r="55" spans="2:22" ht="18">
      <c r="H55" s="74"/>
      <c r="I55" s="74"/>
      <c r="J55" s="74"/>
      <c r="K55" s="74"/>
      <c r="T55" s="32"/>
      <c r="U55" s="32"/>
      <c r="V55" s="32"/>
    </row>
    <row r="56" spans="2:22" ht="18">
      <c r="H56" s="74"/>
      <c r="I56" s="74"/>
      <c r="J56" s="74"/>
      <c r="K56" s="74"/>
      <c r="T56" s="32"/>
      <c r="U56" s="32"/>
      <c r="V56" s="32"/>
    </row>
    <row r="57" spans="2:22" ht="18">
      <c r="B57" s="74"/>
      <c r="C57" s="74"/>
      <c r="D57" s="74"/>
      <c r="E57" s="74"/>
      <c r="H57" s="74"/>
      <c r="I57" s="74"/>
      <c r="J57" s="74"/>
      <c r="K57" s="74"/>
      <c r="T57" s="32"/>
      <c r="U57" s="32"/>
      <c r="V57" s="32"/>
    </row>
    <row r="58" spans="2:22" ht="18">
      <c r="B58" s="74"/>
      <c r="C58" s="74"/>
      <c r="D58" s="74"/>
      <c r="E58" s="74"/>
      <c r="H58" s="74"/>
      <c r="I58" s="74"/>
      <c r="J58" s="74"/>
      <c r="K58" s="74"/>
      <c r="T58" s="32"/>
      <c r="U58" s="32"/>
      <c r="V58" s="32"/>
    </row>
    <row r="59" spans="2:22" ht="18">
      <c r="B59" s="74"/>
      <c r="C59" s="74"/>
      <c r="D59" s="74"/>
      <c r="E59" s="74"/>
      <c r="H59" s="74"/>
      <c r="I59" s="74"/>
      <c r="J59" s="74"/>
      <c r="K59" s="74"/>
      <c r="T59" s="32"/>
      <c r="U59" s="32"/>
      <c r="V59" s="32"/>
    </row>
    <row r="60" spans="2:22" ht="18">
      <c r="B60" s="74"/>
      <c r="C60" s="74"/>
      <c r="D60" s="74"/>
      <c r="E60" s="74"/>
      <c r="H60" s="74"/>
      <c r="I60" s="74"/>
      <c r="J60" s="74"/>
      <c r="K60" s="74"/>
      <c r="T60" s="32"/>
      <c r="U60" s="32"/>
      <c r="V60" s="32"/>
    </row>
    <row r="61" spans="2:22" ht="18">
      <c r="B61" s="74"/>
      <c r="C61" s="74"/>
      <c r="D61" s="74"/>
      <c r="E61" s="74"/>
      <c r="H61" s="74"/>
      <c r="I61" s="74"/>
      <c r="J61" s="74"/>
      <c r="K61" s="74"/>
      <c r="T61" s="32"/>
      <c r="U61" s="32"/>
      <c r="V61" s="32"/>
    </row>
    <row r="62" spans="2:22" ht="18">
      <c r="B62" s="74"/>
      <c r="C62" s="74"/>
      <c r="D62" s="74"/>
      <c r="E62" s="74"/>
      <c r="H62" s="74"/>
      <c r="I62" s="74"/>
      <c r="J62" s="74"/>
      <c r="K62" s="74"/>
      <c r="T62" s="32"/>
      <c r="U62" s="32"/>
      <c r="V62" s="32"/>
    </row>
    <row r="63" spans="2:22" ht="18">
      <c r="B63" s="74"/>
      <c r="C63" s="74"/>
      <c r="D63" s="74"/>
      <c r="E63" s="74"/>
      <c r="H63" s="74"/>
      <c r="I63" s="74"/>
      <c r="J63" s="74"/>
      <c r="K63" s="74"/>
      <c r="T63" s="32"/>
      <c r="U63" s="32"/>
      <c r="V63" s="32"/>
    </row>
    <row r="64" spans="2:22" ht="18">
      <c r="B64" s="74"/>
      <c r="C64" s="74"/>
      <c r="D64" s="74"/>
      <c r="E64" s="74"/>
      <c r="T64" s="32"/>
      <c r="U64" s="32"/>
      <c r="V64" s="32"/>
    </row>
    <row r="65" spans="1:22" ht="18">
      <c r="B65" s="74"/>
      <c r="C65" s="74"/>
      <c r="D65" s="74"/>
      <c r="E65" s="74"/>
      <c r="T65" s="32"/>
      <c r="U65" s="32"/>
      <c r="V65" s="32"/>
    </row>
    <row r="66" spans="1:22" ht="18">
      <c r="B66" s="74"/>
      <c r="C66" s="74"/>
      <c r="D66" s="74"/>
      <c r="E66" s="74"/>
      <c r="T66" s="32"/>
      <c r="U66" s="32"/>
      <c r="V66" s="32"/>
    </row>
    <row r="67" spans="1:22" ht="18">
      <c r="B67" s="74"/>
      <c r="C67" s="74"/>
      <c r="D67" s="74"/>
      <c r="E67" s="74"/>
      <c r="T67" s="32"/>
    </row>
    <row r="68" spans="1:22" ht="18">
      <c r="B68" s="74"/>
      <c r="C68" s="74"/>
      <c r="D68" s="74"/>
      <c r="E68" s="74"/>
      <c r="T68" s="32"/>
    </row>
    <row r="69" spans="1:22" ht="18">
      <c r="B69" s="74"/>
      <c r="C69" s="74"/>
      <c r="D69" s="74"/>
      <c r="E69" s="74"/>
      <c r="T69" s="32"/>
    </row>
    <row r="70" spans="1:22" ht="18">
      <c r="B70" s="74"/>
      <c r="C70" s="74"/>
      <c r="D70" s="74"/>
      <c r="E70" s="74"/>
      <c r="T70" s="32"/>
    </row>
    <row r="71" spans="1:22" ht="18">
      <c r="B71" s="74"/>
      <c r="C71" s="74"/>
      <c r="D71" s="74"/>
      <c r="E71" s="74"/>
      <c r="T71" s="32"/>
    </row>
    <row r="72" spans="1:22" ht="18">
      <c r="B72" s="74"/>
      <c r="C72" s="74"/>
      <c r="D72" s="74"/>
      <c r="E72" s="74"/>
      <c r="T72" s="32"/>
    </row>
    <row r="73" spans="1:22" ht="18">
      <c r="B73" s="74"/>
      <c r="C73" s="74"/>
      <c r="D73" s="74"/>
      <c r="E73" s="74"/>
      <c r="T73" s="32"/>
    </row>
    <row r="74" spans="1:22" ht="18">
      <c r="B74" s="74"/>
      <c r="C74" s="74"/>
      <c r="D74" s="74"/>
      <c r="E74" s="74"/>
      <c r="T74" s="32"/>
    </row>
    <row r="75" spans="1:22" ht="18">
      <c r="B75" s="74"/>
      <c r="C75" s="74"/>
      <c r="D75" s="74"/>
      <c r="E75" s="74"/>
      <c r="T75" s="32"/>
    </row>
    <row r="76" spans="1:22" ht="18">
      <c r="B76" s="74"/>
      <c r="C76" s="74"/>
      <c r="D76" s="74"/>
      <c r="E76" s="74"/>
      <c r="T76" s="32"/>
    </row>
    <row r="78" spans="1:22">
      <c r="A78" s="65"/>
      <c r="B78" s="66"/>
      <c r="C78" s="66"/>
    </row>
    <row r="79" spans="1:22">
      <c r="A79" s="67"/>
      <c r="B79" s="68"/>
      <c r="C79" s="74"/>
    </row>
    <row r="80" spans="1:22">
      <c r="A80" s="67"/>
      <c r="B80" s="68"/>
      <c r="C80" s="74"/>
    </row>
    <row r="81" spans="1:3">
      <c r="A81" s="67"/>
      <c r="B81" s="68"/>
      <c r="C81" s="74"/>
    </row>
    <row r="82" spans="1:3">
      <c r="A82" s="67"/>
      <c r="B82" s="68"/>
      <c r="C82" s="74"/>
    </row>
    <row r="83" spans="1:3">
      <c r="A83" s="67"/>
      <c r="B83" s="68"/>
      <c r="C83" s="74"/>
    </row>
    <row r="84" spans="1:3">
      <c r="A84" s="67"/>
      <c r="B84" s="68"/>
      <c r="C84" s="74"/>
    </row>
    <row r="85" spans="1:3">
      <c r="A85" s="67"/>
      <c r="B85" s="68"/>
      <c r="C85" s="74"/>
    </row>
    <row r="86" spans="1:3">
      <c r="A86" s="67"/>
      <c r="B86" s="68"/>
      <c r="C86" s="74"/>
    </row>
    <row r="87" spans="1:3">
      <c r="A87" s="67"/>
      <c r="B87" s="68"/>
      <c r="C87" s="74"/>
    </row>
    <row r="88" spans="1:3">
      <c r="A88" s="67"/>
      <c r="B88" s="68"/>
      <c r="C88" s="74"/>
    </row>
  </sheetData>
  <conditionalFormatting sqref="C3:D3">
    <cfRule type="duplicateValues" dxfId="2" priority="3"/>
  </conditionalFormatting>
  <conditionalFormatting sqref="C4:D4">
    <cfRule type="duplicateValues" dxfId="1" priority="1"/>
  </conditionalFormatting>
  <conditionalFormatting sqref="C5:D5">
    <cfRule type="duplicateValues" dxfId="0" priority="2"/>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43D6-B140-4406-8C9B-3C097A3D1573}">
  <dimension ref="A1:C89"/>
  <sheetViews>
    <sheetView workbookViewId="0">
      <selection activeCell="C15" sqref="C15"/>
    </sheetView>
  </sheetViews>
  <sheetFormatPr defaultRowHeight="14.4"/>
  <cols>
    <col min="2" max="2" width="22.77734375" bestFit="1" customWidth="1"/>
    <col min="3" max="3" width="58.33203125" bestFit="1" customWidth="1"/>
  </cols>
  <sheetData>
    <row r="1" spans="1:3">
      <c r="A1" s="71">
        <v>12</v>
      </c>
      <c r="B1" s="41" t="s">
        <v>362</v>
      </c>
      <c r="C1" s="72" t="s">
        <v>374</v>
      </c>
    </row>
    <row r="2" spans="1:3">
      <c r="A2" s="71">
        <v>13</v>
      </c>
      <c r="B2" s="41" t="s">
        <v>362</v>
      </c>
      <c r="C2" s="72" t="s">
        <v>375</v>
      </c>
    </row>
    <row r="3" spans="1:3">
      <c r="A3" s="71">
        <v>14</v>
      </c>
      <c r="B3" s="41" t="s">
        <v>362</v>
      </c>
      <c r="C3" s="72" t="s">
        <v>376</v>
      </c>
    </row>
    <row r="4" spans="1:3">
      <c r="A4" s="71">
        <v>15</v>
      </c>
      <c r="B4" s="41" t="s">
        <v>362</v>
      </c>
      <c r="C4" s="72" t="s">
        <v>377</v>
      </c>
    </row>
    <row r="5" spans="1:3">
      <c r="A5" s="71">
        <v>16</v>
      </c>
      <c r="B5" s="41" t="s">
        <v>362</v>
      </c>
      <c r="C5" s="72" t="s">
        <v>378</v>
      </c>
    </row>
    <row r="6" spans="1:3">
      <c r="A6" s="71">
        <v>17</v>
      </c>
      <c r="B6" s="41" t="s">
        <v>362</v>
      </c>
      <c r="C6" s="72" t="s">
        <v>379</v>
      </c>
    </row>
    <row r="7" spans="1:3">
      <c r="A7" s="71">
        <v>18</v>
      </c>
      <c r="B7" s="41" t="s">
        <v>362</v>
      </c>
      <c r="C7" s="72" t="s">
        <v>380</v>
      </c>
    </row>
    <row r="8" spans="1:3">
      <c r="A8" s="71">
        <v>19</v>
      </c>
      <c r="B8" s="41" t="s">
        <v>362</v>
      </c>
      <c r="C8" s="72" t="s">
        <v>381</v>
      </c>
    </row>
    <row r="9" spans="1:3">
      <c r="A9" s="71">
        <v>20</v>
      </c>
      <c r="B9" s="41" t="s">
        <v>362</v>
      </c>
      <c r="C9" s="72" t="s">
        <v>382</v>
      </c>
    </row>
    <row r="10" spans="1:3">
      <c r="A10" s="71">
        <v>21</v>
      </c>
      <c r="B10" s="41" t="s">
        <v>362</v>
      </c>
      <c r="C10" s="72" t="s">
        <v>383</v>
      </c>
    </row>
    <row r="11" spans="1:3">
      <c r="A11" s="71">
        <v>22</v>
      </c>
      <c r="B11" s="41" t="s">
        <v>362</v>
      </c>
      <c r="C11" s="72" t="s">
        <v>384</v>
      </c>
    </row>
    <row r="12" spans="1:3">
      <c r="A12" s="71">
        <v>23</v>
      </c>
      <c r="B12" s="41" t="s">
        <v>362</v>
      </c>
      <c r="C12" s="72" t="s">
        <v>385</v>
      </c>
    </row>
    <row r="13" spans="1:3">
      <c r="A13" s="71">
        <v>24</v>
      </c>
      <c r="B13" s="41" t="s">
        <v>362</v>
      </c>
      <c r="C13" s="72" t="s">
        <v>386</v>
      </c>
    </row>
    <row r="14" spans="1:3">
      <c r="A14" s="71">
        <v>25</v>
      </c>
      <c r="B14" s="41" t="s">
        <v>362</v>
      </c>
      <c r="C14" s="72" t="s">
        <v>387</v>
      </c>
    </row>
    <row r="15" spans="1:3">
      <c r="A15" s="71">
        <v>26</v>
      </c>
      <c r="B15" s="41" t="s">
        <v>362</v>
      </c>
      <c r="C15" s="72" t="s">
        <v>388</v>
      </c>
    </row>
    <row r="16" spans="1:3">
      <c r="A16" s="71">
        <v>27</v>
      </c>
      <c r="B16" s="41" t="s">
        <v>362</v>
      </c>
      <c r="C16" s="72" t="s">
        <v>389</v>
      </c>
    </row>
    <row r="17" spans="1:3">
      <c r="A17" s="71">
        <v>28</v>
      </c>
      <c r="B17" s="41" t="s">
        <v>362</v>
      </c>
      <c r="C17" s="72" t="s">
        <v>390</v>
      </c>
    </row>
    <row r="18" spans="1:3">
      <c r="A18" s="71">
        <v>29</v>
      </c>
      <c r="B18" s="41" t="s">
        <v>362</v>
      </c>
      <c r="C18" s="72" t="s">
        <v>391</v>
      </c>
    </row>
    <row r="19" spans="1:3">
      <c r="A19" s="71">
        <v>30</v>
      </c>
      <c r="B19" s="41" t="s">
        <v>362</v>
      </c>
      <c r="C19" s="72" t="s">
        <v>392</v>
      </c>
    </row>
    <row r="20" spans="1:3">
      <c r="A20" s="71">
        <v>31</v>
      </c>
      <c r="B20" s="41" t="s">
        <v>362</v>
      </c>
      <c r="C20" s="72" t="s">
        <v>393</v>
      </c>
    </row>
    <row r="21" spans="1:3">
      <c r="A21" s="71">
        <v>32</v>
      </c>
      <c r="B21" s="41" t="s">
        <v>362</v>
      </c>
      <c r="C21" s="72" t="s">
        <v>394</v>
      </c>
    </row>
    <row r="22" spans="1:3">
      <c r="A22" s="71">
        <v>33</v>
      </c>
      <c r="B22" s="41" t="s">
        <v>362</v>
      </c>
      <c r="C22" s="72" t="s">
        <v>395</v>
      </c>
    </row>
    <row r="23" spans="1:3">
      <c r="A23" s="71">
        <v>34</v>
      </c>
      <c r="B23" s="41" t="s">
        <v>362</v>
      </c>
      <c r="C23" s="72" t="s">
        <v>396</v>
      </c>
    </row>
    <row r="24" spans="1:3">
      <c r="A24" s="71">
        <v>35</v>
      </c>
      <c r="B24" s="41" t="s">
        <v>362</v>
      </c>
      <c r="C24" s="72" t="s">
        <v>397</v>
      </c>
    </row>
    <row r="25" spans="1:3">
      <c r="A25" s="71">
        <v>36</v>
      </c>
      <c r="B25" s="41" t="s">
        <v>362</v>
      </c>
      <c r="C25" s="72" t="s">
        <v>398</v>
      </c>
    </row>
    <row r="26" spans="1:3">
      <c r="A26" s="71">
        <v>37</v>
      </c>
      <c r="B26" s="41" t="s">
        <v>362</v>
      </c>
      <c r="C26" s="72" t="s">
        <v>399</v>
      </c>
    </row>
    <row r="27" spans="1:3">
      <c r="A27" s="71">
        <v>38</v>
      </c>
      <c r="B27" s="41" t="s">
        <v>362</v>
      </c>
      <c r="C27" s="72" t="s">
        <v>400</v>
      </c>
    </row>
    <row r="28" spans="1:3">
      <c r="A28" s="71">
        <v>39</v>
      </c>
      <c r="B28" s="41" t="s">
        <v>362</v>
      </c>
      <c r="C28" s="72" t="s">
        <v>401</v>
      </c>
    </row>
    <row r="29" spans="1:3">
      <c r="A29" s="71">
        <v>40</v>
      </c>
      <c r="B29" s="41" t="s">
        <v>362</v>
      </c>
      <c r="C29" s="72" t="s">
        <v>402</v>
      </c>
    </row>
    <row r="30" spans="1:3">
      <c r="A30" s="71">
        <v>41</v>
      </c>
      <c r="B30" s="41" t="s">
        <v>403</v>
      </c>
      <c r="C30" s="72" t="s">
        <v>404</v>
      </c>
    </row>
    <row r="31" spans="1:3">
      <c r="A31" s="71">
        <v>42</v>
      </c>
      <c r="B31" s="41" t="s">
        <v>403</v>
      </c>
      <c r="C31" s="72" t="s">
        <v>405</v>
      </c>
    </row>
    <row r="32" spans="1:3">
      <c r="A32" s="71">
        <v>43</v>
      </c>
      <c r="B32" s="41" t="s">
        <v>403</v>
      </c>
      <c r="C32" s="72" t="s">
        <v>406</v>
      </c>
    </row>
    <row r="33" spans="1:3">
      <c r="A33" s="71">
        <v>44</v>
      </c>
      <c r="B33" s="41" t="s">
        <v>403</v>
      </c>
      <c r="C33" s="72" t="s">
        <v>407</v>
      </c>
    </row>
    <row r="34" spans="1:3">
      <c r="A34" s="71">
        <v>45</v>
      </c>
      <c r="B34" s="41" t="s">
        <v>403</v>
      </c>
      <c r="C34" s="72" t="s">
        <v>408</v>
      </c>
    </row>
    <row r="35" spans="1:3">
      <c r="A35" s="71">
        <v>46</v>
      </c>
      <c r="B35" s="41" t="s">
        <v>403</v>
      </c>
      <c r="C35" s="72" t="s">
        <v>409</v>
      </c>
    </row>
    <row r="36" spans="1:3">
      <c r="A36" s="71">
        <v>47</v>
      </c>
      <c r="B36" s="41" t="s">
        <v>403</v>
      </c>
      <c r="C36" s="72" t="s">
        <v>410</v>
      </c>
    </row>
    <row r="37" spans="1:3">
      <c r="A37" s="71">
        <v>48</v>
      </c>
      <c r="B37" s="41" t="s">
        <v>403</v>
      </c>
      <c r="C37" s="72" t="s">
        <v>411</v>
      </c>
    </row>
    <row r="38" spans="1:3">
      <c r="A38" s="71">
        <v>49</v>
      </c>
      <c r="B38" s="41" t="s">
        <v>403</v>
      </c>
      <c r="C38" s="72" t="s">
        <v>412</v>
      </c>
    </row>
    <row r="39" spans="1:3">
      <c r="A39" s="71">
        <v>50</v>
      </c>
      <c r="B39" s="41" t="s">
        <v>403</v>
      </c>
      <c r="C39" s="72" t="s">
        <v>413</v>
      </c>
    </row>
    <row r="40" spans="1:3">
      <c r="A40" s="71">
        <v>51</v>
      </c>
      <c r="B40" s="41" t="s">
        <v>403</v>
      </c>
      <c r="C40" s="72" t="s">
        <v>414</v>
      </c>
    </row>
    <row r="41" spans="1:3">
      <c r="A41" s="71">
        <v>52</v>
      </c>
      <c r="B41" s="41" t="s">
        <v>403</v>
      </c>
      <c r="C41" s="72" t="s">
        <v>415</v>
      </c>
    </row>
    <row r="42" spans="1:3">
      <c r="A42" s="71">
        <v>53</v>
      </c>
      <c r="B42" s="41" t="s">
        <v>403</v>
      </c>
      <c r="C42" s="72" t="s">
        <v>416</v>
      </c>
    </row>
    <row r="43" spans="1:3">
      <c r="A43" s="71">
        <v>54</v>
      </c>
      <c r="B43" s="41" t="s">
        <v>403</v>
      </c>
      <c r="C43" s="72" t="s">
        <v>417</v>
      </c>
    </row>
    <row r="44" spans="1:3">
      <c r="A44" s="71">
        <v>55</v>
      </c>
      <c r="B44" s="41" t="s">
        <v>403</v>
      </c>
      <c r="C44" s="72" t="s">
        <v>418</v>
      </c>
    </row>
    <row r="45" spans="1:3">
      <c r="A45" s="71">
        <v>56</v>
      </c>
      <c r="B45" s="41" t="s">
        <v>403</v>
      </c>
      <c r="C45" s="72" t="s">
        <v>419</v>
      </c>
    </row>
    <row r="46" spans="1:3">
      <c r="A46" s="71">
        <v>57</v>
      </c>
      <c r="B46" s="41" t="s">
        <v>403</v>
      </c>
      <c r="C46" s="72" t="s">
        <v>420</v>
      </c>
    </row>
    <row r="47" spans="1:3">
      <c r="A47" s="71">
        <v>58</v>
      </c>
      <c r="B47" s="41" t="s">
        <v>403</v>
      </c>
      <c r="C47" s="72" t="s">
        <v>421</v>
      </c>
    </row>
    <row r="48" spans="1:3">
      <c r="A48" s="71">
        <v>59</v>
      </c>
      <c r="B48" s="41" t="s">
        <v>403</v>
      </c>
      <c r="C48" s="72" t="s">
        <v>422</v>
      </c>
    </row>
    <row r="49" spans="1:3">
      <c r="A49" s="71">
        <v>60</v>
      </c>
      <c r="B49" s="41" t="s">
        <v>403</v>
      </c>
      <c r="C49" s="72" t="s">
        <v>423</v>
      </c>
    </row>
    <row r="50" spans="1:3">
      <c r="A50" s="71">
        <v>61</v>
      </c>
      <c r="B50" s="41" t="s">
        <v>403</v>
      </c>
      <c r="C50" s="72" t="s">
        <v>424</v>
      </c>
    </row>
    <row r="51" spans="1:3">
      <c r="A51" s="71">
        <v>62</v>
      </c>
      <c r="B51" s="41" t="s">
        <v>403</v>
      </c>
      <c r="C51" s="72" t="s">
        <v>425</v>
      </c>
    </row>
    <row r="52" spans="1:3">
      <c r="A52" s="71">
        <v>63</v>
      </c>
      <c r="B52" s="41" t="s">
        <v>403</v>
      </c>
      <c r="C52" s="72" t="s">
        <v>426</v>
      </c>
    </row>
    <row r="53" spans="1:3">
      <c r="A53" s="71">
        <v>64</v>
      </c>
      <c r="B53" s="41" t="s">
        <v>403</v>
      </c>
      <c r="C53" s="72" t="s">
        <v>427</v>
      </c>
    </row>
    <row r="54" spans="1:3">
      <c r="A54" s="71">
        <v>65</v>
      </c>
      <c r="B54" s="41" t="s">
        <v>403</v>
      </c>
      <c r="C54" s="72" t="s">
        <v>428</v>
      </c>
    </row>
    <row r="55" spans="1:3">
      <c r="A55" s="71">
        <v>66</v>
      </c>
      <c r="B55" s="41" t="s">
        <v>403</v>
      </c>
      <c r="C55" s="72" t="s">
        <v>429</v>
      </c>
    </row>
    <row r="56" spans="1:3">
      <c r="A56" s="71">
        <v>67</v>
      </c>
      <c r="B56" s="41" t="s">
        <v>403</v>
      </c>
      <c r="C56" s="72" t="s">
        <v>430</v>
      </c>
    </row>
    <row r="57" spans="1:3">
      <c r="A57" s="71">
        <v>68</v>
      </c>
      <c r="B57" s="41" t="s">
        <v>403</v>
      </c>
      <c r="C57" s="72" t="s">
        <v>431</v>
      </c>
    </row>
    <row r="58" spans="1:3">
      <c r="A58" s="71">
        <v>69</v>
      </c>
      <c r="B58" s="41" t="s">
        <v>403</v>
      </c>
      <c r="C58" s="72" t="s">
        <v>432</v>
      </c>
    </row>
    <row r="59" spans="1:3">
      <c r="A59" s="71">
        <v>70</v>
      </c>
      <c r="B59" s="41" t="s">
        <v>403</v>
      </c>
      <c r="C59" s="72" t="s">
        <v>433</v>
      </c>
    </row>
    <row r="60" spans="1:3">
      <c r="A60" s="71">
        <v>71</v>
      </c>
      <c r="B60" s="41" t="s">
        <v>434</v>
      </c>
      <c r="C60" s="72" t="s">
        <v>435</v>
      </c>
    </row>
    <row r="61" spans="1:3">
      <c r="A61" s="71">
        <v>72</v>
      </c>
      <c r="B61" s="41" t="s">
        <v>434</v>
      </c>
      <c r="C61" s="72" t="s">
        <v>436</v>
      </c>
    </row>
    <row r="62" spans="1:3">
      <c r="A62" s="71">
        <v>73</v>
      </c>
      <c r="B62" s="41" t="s">
        <v>434</v>
      </c>
      <c r="C62" s="72" t="s">
        <v>437</v>
      </c>
    </row>
    <row r="63" spans="1:3">
      <c r="A63" s="71">
        <v>74</v>
      </c>
      <c r="B63" s="41" t="s">
        <v>434</v>
      </c>
      <c r="C63" s="72" t="s">
        <v>438</v>
      </c>
    </row>
    <row r="64" spans="1:3">
      <c r="A64" s="71">
        <v>75</v>
      </c>
      <c r="B64" s="41" t="s">
        <v>434</v>
      </c>
      <c r="C64" s="72" t="s">
        <v>439</v>
      </c>
    </row>
    <row r="65" spans="1:3">
      <c r="A65" s="71">
        <v>76</v>
      </c>
      <c r="B65" s="41" t="s">
        <v>434</v>
      </c>
      <c r="C65" s="72" t="s">
        <v>440</v>
      </c>
    </row>
    <row r="66" spans="1:3">
      <c r="A66" s="71">
        <v>77</v>
      </c>
      <c r="B66" s="41" t="s">
        <v>434</v>
      </c>
      <c r="C66" s="72" t="s">
        <v>441</v>
      </c>
    </row>
    <row r="67" spans="1:3">
      <c r="A67" s="71">
        <v>78</v>
      </c>
      <c r="B67" s="41" t="s">
        <v>434</v>
      </c>
      <c r="C67" s="72" t="s">
        <v>442</v>
      </c>
    </row>
    <row r="68" spans="1:3">
      <c r="A68" s="71">
        <v>79</v>
      </c>
      <c r="B68" s="41" t="s">
        <v>434</v>
      </c>
      <c r="C68" s="72" t="s">
        <v>443</v>
      </c>
    </row>
    <row r="69" spans="1:3">
      <c r="A69" s="71">
        <v>80</v>
      </c>
      <c r="B69" s="41" t="s">
        <v>434</v>
      </c>
      <c r="C69" s="72" t="s">
        <v>444</v>
      </c>
    </row>
    <row r="70" spans="1:3">
      <c r="A70" s="71">
        <v>81</v>
      </c>
      <c r="B70" s="41" t="s">
        <v>434</v>
      </c>
      <c r="C70" s="72" t="s">
        <v>445</v>
      </c>
    </row>
    <row r="71" spans="1:3">
      <c r="A71" s="71">
        <v>82</v>
      </c>
      <c r="B71" s="41" t="s">
        <v>434</v>
      </c>
      <c r="C71" s="72" t="s">
        <v>446</v>
      </c>
    </row>
    <row r="72" spans="1:3">
      <c r="A72" s="71">
        <v>83</v>
      </c>
      <c r="B72" s="41" t="s">
        <v>434</v>
      </c>
      <c r="C72" s="72" t="s">
        <v>447</v>
      </c>
    </row>
    <row r="73" spans="1:3">
      <c r="A73" s="71">
        <v>84</v>
      </c>
      <c r="B73" s="41" t="s">
        <v>434</v>
      </c>
      <c r="C73" s="72" t="s">
        <v>448</v>
      </c>
    </row>
    <row r="74" spans="1:3">
      <c r="A74" s="71">
        <v>85</v>
      </c>
      <c r="B74" s="41" t="s">
        <v>434</v>
      </c>
      <c r="C74" s="72" t="s">
        <v>449</v>
      </c>
    </row>
    <row r="75" spans="1:3">
      <c r="A75" s="71">
        <v>86</v>
      </c>
      <c r="B75" s="41" t="s">
        <v>434</v>
      </c>
      <c r="C75" s="72" t="s">
        <v>450</v>
      </c>
    </row>
    <row r="76" spans="1:3">
      <c r="A76" s="71">
        <v>87</v>
      </c>
      <c r="B76" s="41" t="s">
        <v>434</v>
      </c>
      <c r="C76" s="72" t="s">
        <v>451</v>
      </c>
    </row>
    <row r="77" spans="1:3">
      <c r="A77" s="71">
        <v>88</v>
      </c>
      <c r="B77" s="41" t="s">
        <v>434</v>
      </c>
      <c r="C77" s="72" t="s">
        <v>452</v>
      </c>
    </row>
    <row r="78" spans="1:3">
      <c r="A78" s="71">
        <v>89</v>
      </c>
      <c r="B78" s="41" t="s">
        <v>434</v>
      </c>
      <c r="C78" s="72" t="s">
        <v>453</v>
      </c>
    </row>
    <row r="79" spans="1:3">
      <c r="A79" s="71">
        <v>90</v>
      </c>
      <c r="B79" s="41" t="s">
        <v>434</v>
      </c>
      <c r="C79" s="72" t="s">
        <v>454</v>
      </c>
    </row>
    <row r="80" spans="1:3">
      <c r="A80" s="71">
        <v>91</v>
      </c>
      <c r="B80" s="41" t="s">
        <v>455</v>
      </c>
      <c r="C80" s="72" t="s">
        <v>456</v>
      </c>
    </row>
    <row r="81" spans="1:3">
      <c r="A81" s="71">
        <v>92</v>
      </c>
      <c r="B81" s="41" t="s">
        <v>455</v>
      </c>
      <c r="C81" s="72" t="s">
        <v>457</v>
      </c>
    </row>
    <row r="82" spans="1:3">
      <c r="A82" s="71">
        <v>93</v>
      </c>
      <c r="B82" s="41" t="s">
        <v>455</v>
      </c>
      <c r="C82" s="72" t="s">
        <v>458</v>
      </c>
    </row>
    <row r="83" spans="1:3">
      <c r="A83" s="71">
        <v>94</v>
      </c>
      <c r="B83" s="41" t="s">
        <v>455</v>
      </c>
      <c r="C83" s="72" t="s">
        <v>459</v>
      </c>
    </row>
    <row r="84" spans="1:3">
      <c r="A84" s="71">
        <v>95</v>
      </c>
      <c r="B84" s="41" t="s">
        <v>455</v>
      </c>
      <c r="C84" s="72" t="s">
        <v>460</v>
      </c>
    </row>
    <row r="85" spans="1:3">
      <c r="A85" s="71">
        <v>96</v>
      </c>
      <c r="B85" s="41" t="s">
        <v>455</v>
      </c>
      <c r="C85" s="72" t="s">
        <v>461</v>
      </c>
    </row>
    <row r="86" spans="1:3">
      <c r="A86" s="71">
        <v>97</v>
      </c>
      <c r="B86" s="41" t="s">
        <v>455</v>
      </c>
      <c r="C86" s="72" t="s">
        <v>462</v>
      </c>
    </row>
    <row r="87" spans="1:3">
      <c r="A87" s="71">
        <v>98</v>
      </c>
      <c r="B87" s="41" t="s">
        <v>455</v>
      </c>
      <c r="C87" s="72" t="s">
        <v>463</v>
      </c>
    </row>
    <row r="88" spans="1:3">
      <c r="A88" s="71">
        <v>99</v>
      </c>
      <c r="B88" s="41" t="s">
        <v>455</v>
      </c>
      <c r="C88" s="72" t="s">
        <v>464</v>
      </c>
    </row>
    <row r="89" spans="1:3">
      <c r="A89" s="71">
        <v>100</v>
      </c>
      <c r="B89" s="41" t="s">
        <v>455</v>
      </c>
      <c r="C89" s="72" t="s">
        <v>465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6B212-12E5-4CBA-BA48-FBF1E10DEF1D}">
  <dimension ref="C3:S13"/>
  <sheetViews>
    <sheetView workbookViewId="0">
      <selection activeCell="J16" sqref="J16"/>
    </sheetView>
  </sheetViews>
  <sheetFormatPr defaultRowHeight="14.4"/>
  <sheetData>
    <row r="3" spans="3:19">
      <c r="D3" t="s">
        <v>571</v>
      </c>
      <c r="E3" t="s">
        <v>570</v>
      </c>
      <c r="F3" t="s">
        <v>582</v>
      </c>
      <c r="G3">
        <v>14</v>
      </c>
    </row>
    <row r="4" spans="3:19">
      <c r="D4" t="s">
        <v>572</v>
      </c>
      <c r="E4" t="s">
        <v>570</v>
      </c>
      <c r="F4" t="s">
        <v>583</v>
      </c>
      <c r="G4">
        <v>15</v>
      </c>
    </row>
    <row r="5" spans="3:19">
      <c r="D5" t="s">
        <v>573</v>
      </c>
      <c r="E5" t="s">
        <v>570</v>
      </c>
      <c r="F5" t="s">
        <v>584</v>
      </c>
      <c r="G5">
        <v>16</v>
      </c>
      <c r="S5" t="s">
        <v>569</v>
      </c>
    </row>
    <row r="6" spans="3:19">
      <c r="D6" s="76" t="s">
        <v>574</v>
      </c>
      <c r="E6" s="76" t="s">
        <v>570</v>
      </c>
      <c r="F6" s="76" t="s">
        <v>585</v>
      </c>
      <c r="G6" s="76">
        <v>17</v>
      </c>
      <c r="S6" t="s">
        <v>566</v>
      </c>
    </row>
    <row r="7" spans="3:19">
      <c r="D7" s="76" t="s">
        <v>575</v>
      </c>
      <c r="E7" s="76" t="s">
        <v>570</v>
      </c>
      <c r="F7" s="76" t="s">
        <v>586</v>
      </c>
      <c r="G7" s="76">
        <v>18</v>
      </c>
      <c r="S7" t="s">
        <v>567</v>
      </c>
    </row>
    <row r="8" spans="3:19">
      <c r="C8" s="76"/>
      <c r="D8" s="76" t="s">
        <v>576</v>
      </c>
      <c r="E8" s="76" t="s">
        <v>570</v>
      </c>
      <c r="F8" s="76" t="s">
        <v>587</v>
      </c>
      <c r="G8" s="76">
        <v>19</v>
      </c>
      <c r="H8" s="76"/>
      <c r="S8" t="s">
        <v>568</v>
      </c>
    </row>
    <row r="9" spans="3:19">
      <c r="C9" s="69"/>
      <c r="D9" s="69" t="s">
        <v>577</v>
      </c>
      <c r="E9" s="69" t="s">
        <v>570</v>
      </c>
      <c r="F9" s="69" t="s">
        <v>588</v>
      </c>
      <c r="G9" s="69">
        <v>20</v>
      </c>
    </row>
    <row r="10" spans="3:19">
      <c r="D10" s="69" t="s">
        <v>578</v>
      </c>
      <c r="E10" s="69" t="s">
        <v>570</v>
      </c>
      <c r="F10" s="69" t="s">
        <v>589</v>
      </c>
      <c r="G10" s="69">
        <v>21</v>
      </c>
    </row>
    <row r="11" spans="3:19">
      <c r="D11" s="69" t="s">
        <v>579</v>
      </c>
      <c r="E11" s="69" t="s">
        <v>570</v>
      </c>
      <c r="F11" s="69" t="s">
        <v>590</v>
      </c>
      <c r="G11" s="69">
        <v>22</v>
      </c>
    </row>
    <row r="12" spans="3:19">
      <c r="D12" t="s">
        <v>580</v>
      </c>
      <c r="E12" t="s">
        <v>570</v>
      </c>
      <c r="F12" t="s">
        <v>591</v>
      </c>
      <c r="G12">
        <v>23</v>
      </c>
    </row>
    <row r="13" spans="3:19">
      <c r="D13" s="69" t="s">
        <v>581</v>
      </c>
      <c r="E13" s="69" t="s">
        <v>570</v>
      </c>
      <c r="F13" s="69" t="s">
        <v>592</v>
      </c>
      <c r="G13">
        <v>23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1</vt:lpstr>
      <vt:lpstr>2</vt:lpstr>
      <vt:lpstr>3</vt:lpstr>
      <vt:lpstr>4</vt:lpstr>
      <vt:lpstr>pre-4</vt:lpstr>
      <vt:lpstr>5</vt:lpstr>
      <vt:lpstr>10</vt:lpstr>
      <vt:lpstr>11</vt:lpstr>
      <vt:lpstr>12</vt:lpstr>
      <vt:lpstr>DRA</vt:lpstr>
      <vt:lpstr>Todo</vt:lpstr>
      <vt:lpstr>Sheet1</vt:lpstr>
      <vt:lpstr>Sheet2</vt:lpstr>
      <vt:lpstr>21</vt:lpstr>
      <vt:lpstr>22</vt:lpstr>
      <vt:lpstr>23</vt:lpstr>
      <vt:lpstr>24</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pvkadien0209@gmail.com</cp:lastModifiedBy>
  <dcterms:created xsi:type="dcterms:W3CDTF">2015-06-05T18:17:20Z</dcterms:created>
  <dcterms:modified xsi:type="dcterms:W3CDTF">2026-09-17T03:38:25Z</dcterms:modified>
</cp:coreProperties>
</file>